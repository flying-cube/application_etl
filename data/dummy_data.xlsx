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amte Tabelle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  <dxf>
      <fill>
        <patternFill patternType="solid">
          <fgColor rgb="00FFF4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ewerbungen" displayName="Bewerbungen" ref="A1:U51" headerRowCount="1">
  <autoFilter ref="A1:U51"/>
  <tableColumns count="21">
    <tableColumn id="1" name="Aktiv"/>
    <tableColumn id="2" name="Alter"/>
    <tableColumn id="3" name="Status"/>
    <tableColumn id="4" name="Position"/>
    <tableColumn id="5" name="Firma"/>
    <tableColumn id="6" name="Land"/>
    <tableColumn id="7" name="Stadt"/>
    <tableColumn id="8" name="Start Datum"/>
    <tableColumn id="9" name="Nächster Schritt"/>
    <tableColumn id="10" name="Nächster Schritt Bemerkung"/>
    <tableColumn id="11" name="Abgeschickt"/>
    <tableColumn id="12" name="Bemerkung"/>
    <tableColumn id="13" name="Deadline Datum"/>
    <tableColumn id="14" name="Kontaktpunkt"/>
    <tableColumn id="15" name="Kontaktperson"/>
    <tableColumn id="16" name="Link"/>
    <tableColumn id="17" name="Column1"/>
    <tableColumn id="18" name="Index"/>
    <tableColumn id="19" name="StartWoche"/>
    <tableColumn id="20" name="AbgeschicktWoche"/>
    <tableColumn id="21" name="Column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jobs/app-049" TargetMode="External" Id="rId1"/><Relationship Type="http://schemas.openxmlformats.org/officeDocument/2006/relationships/hyperlink" Target="https://example.com/jobs/app-050" TargetMode="External" Id="rId2"/><Relationship Type="http://schemas.openxmlformats.org/officeDocument/2006/relationships/hyperlink" Target="https://example.com/jobs/app-047" TargetMode="External" Id="rId3"/><Relationship Type="http://schemas.openxmlformats.org/officeDocument/2006/relationships/hyperlink" Target="https://example.com/jobs/app-048" TargetMode="External" Id="rId4"/><Relationship Type="http://schemas.openxmlformats.org/officeDocument/2006/relationships/hyperlink" Target="https://example.com/jobs/app-045" TargetMode="External" Id="rId5"/><Relationship Type="http://schemas.openxmlformats.org/officeDocument/2006/relationships/hyperlink" Target="https://example.com/jobs/app-046" TargetMode="External" Id="rId6"/><Relationship Type="http://schemas.openxmlformats.org/officeDocument/2006/relationships/hyperlink" Target="https://example.com/jobs/app-044" TargetMode="External" Id="rId7"/><Relationship Type="http://schemas.openxmlformats.org/officeDocument/2006/relationships/hyperlink" Target="https://example.com/jobs/app-041" TargetMode="External" Id="rId8"/><Relationship Type="http://schemas.openxmlformats.org/officeDocument/2006/relationships/hyperlink" Target="https://example.com/jobs/app-042" TargetMode="External" Id="rId9"/><Relationship Type="http://schemas.openxmlformats.org/officeDocument/2006/relationships/hyperlink" Target="https://example.com/jobs/app-043" TargetMode="External" Id="rId10"/><Relationship Type="http://schemas.openxmlformats.org/officeDocument/2006/relationships/hyperlink" Target="https://example.com/jobs/app-039" TargetMode="External" Id="rId11"/><Relationship Type="http://schemas.openxmlformats.org/officeDocument/2006/relationships/hyperlink" Target="https://example.com/jobs/app-040" TargetMode="External" Id="rId12"/><Relationship Type="http://schemas.openxmlformats.org/officeDocument/2006/relationships/hyperlink" Target="https://example.com/jobs/app-037" TargetMode="External" Id="rId13"/><Relationship Type="http://schemas.openxmlformats.org/officeDocument/2006/relationships/hyperlink" Target="https://example.com/jobs/app-038" TargetMode="External" Id="rId14"/><Relationship Type="http://schemas.openxmlformats.org/officeDocument/2006/relationships/hyperlink" Target="https://example.com/jobs/app-035" TargetMode="External" Id="rId15"/><Relationship Type="http://schemas.openxmlformats.org/officeDocument/2006/relationships/hyperlink" Target="https://example.com/jobs/app-036" TargetMode="External" Id="rId16"/><Relationship Type="http://schemas.openxmlformats.org/officeDocument/2006/relationships/hyperlink" Target="https://example.com/jobs/app-034" TargetMode="External" Id="rId17"/><Relationship Type="http://schemas.openxmlformats.org/officeDocument/2006/relationships/hyperlink" Target="https://example.com/jobs/app-033" TargetMode="External" Id="rId18"/><Relationship Type="http://schemas.openxmlformats.org/officeDocument/2006/relationships/hyperlink" Target="https://example.com/jobs/app-031" TargetMode="External" Id="rId19"/><Relationship Type="http://schemas.openxmlformats.org/officeDocument/2006/relationships/hyperlink" Target="https://example.com/jobs/app-032" TargetMode="External" Id="rId20"/><Relationship Type="http://schemas.openxmlformats.org/officeDocument/2006/relationships/hyperlink" Target="https://example.com/jobs/app-029" TargetMode="External" Id="rId21"/><Relationship Type="http://schemas.openxmlformats.org/officeDocument/2006/relationships/hyperlink" Target="https://example.com/jobs/app-030" TargetMode="External" Id="rId22"/><Relationship Type="http://schemas.openxmlformats.org/officeDocument/2006/relationships/hyperlink" Target="https://example.com/jobs/app-026" TargetMode="External" Id="rId23"/><Relationship Type="http://schemas.openxmlformats.org/officeDocument/2006/relationships/hyperlink" Target="https://example.com/jobs/app-027" TargetMode="External" Id="rId24"/><Relationship Type="http://schemas.openxmlformats.org/officeDocument/2006/relationships/hyperlink" Target="https://example.com/jobs/app-028" TargetMode="External" Id="rId25"/><Relationship Type="http://schemas.openxmlformats.org/officeDocument/2006/relationships/hyperlink" Target="https://example.com/jobs/app-024" TargetMode="External" Id="rId26"/><Relationship Type="http://schemas.openxmlformats.org/officeDocument/2006/relationships/hyperlink" Target="https://example.com/jobs/app-025" TargetMode="External" Id="rId27"/><Relationship Type="http://schemas.openxmlformats.org/officeDocument/2006/relationships/hyperlink" Target="https://example.com/jobs/app-023" TargetMode="External" Id="rId28"/><Relationship Type="http://schemas.openxmlformats.org/officeDocument/2006/relationships/hyperlink" Target="https://example.com/jobs/app-021" TargetMode="External" Id="rId29"/><Relationship Type="http://schemas.openxmlformats.org/officeDocument/2006/relationships/hyperlink" Target="https://example.com/jobs/app-022" TargetMode="External" Id="rId30"/><Relationship Type="http://schemas.openxmlformats.org/officeDocument/2006/relationships/hyperlink" Target="https://example.com/jobs/app-020" TargetMode="External" Id="rId31"/><Relationship Type="http://schemas.openxmlformats.org/officeDocument/2006/relationships/hyperlink" Target="https://example.com/jobs/app-019" TargetMode="External" Id="rId32"/><Relationship Type="http://schemas.openxmlformats.org/officeDocument/2006/relationships/hyperlink" Target="https://example.com/jobs/app-018" TargetMode="External" Id="rId33"/><Relationship Type="http://schemas.openxmlformats.org/officeDocument/2006/relationships/hyperlink" Target="https://example.com/jobs/app-017" TargetMode="External" Id="rId34"/><Relationship Type="http://schemas.openxmlformats.org/officeDocument/2006/relationships/hyperlink" Target="https://example.com/jobs/app-015" TargetMode="External" Id="rId35"/><Relationship Type="http://schemas.openxmlformats.org/officeDocument/2006/relationships/hyperlink" Target="https://example.com/jobs/app-016" TargetMode="External" Id="rId36"/><Relationship Type="http://schemas.openxmlformats.org/officeDocument/2006/relationships/hyperlink" Target="https://example.com/jobs/app-014" TargetMode="External" Id="rId37"/><Relationship Type="http://schemas.openxmlformats.org/officeDocument/2006/relationships/hyperlink" Target="https://example.com/jobs/app-012" TargetMode="External" Id="rId38"/><Relationship Type="http://schemas.openxmlformats.org/officeDocument/2006/relationships/hyperlink" Target="https://example.com/jobs/app-013" TargetMode="External" Id="rId39"/><Relationship Type="http://schemas.openxmlformats.org/officeDocument/2006/relationships/hyperlink" Target="https://example.com/jobs/app-011" TargetMode="External" Id="rId40"/><Relationship Type="http://schemas.openxmlformats.org/officeDocument/2006/relationships/hyperlink" Target="https://example.com/jobs/app-008" TargetMode="External" Id="rId41"/><Relationship Type="http://schemas.openxmlformats.org/officeDocument/2006/relationships/hyperlink" Target="https://example.com/jobs/app-009" TargetMode="External" Id="rId42"/><Relationship Type="http://schemas.openxmlformats.org/officeDocument/2006/relationships/hyperlink" Target="https://example.com/jobs/app-010" TargetMode="External" Id="rId43"/><Relationship Type="http://schemas.openxmlformats.org/officeDocument/2006/relationships/hyperlink" Target="https://example.com/jobs/app-006" TargetMode="External" Id="rId44"/><Relationship Type="http://schemas.openxmlformats.org/officeDocument/2006/relationships/hyperlink" Target="https://example.com/jobs/app-007" TargetMode="External" Id="rId45"/><Relationship Type="http://schemas.openxmlformats.org/officeDocument/2006/relationships/hyperlink" Target="https://example.com/jobs/app-004" TargetMode="External" Id="rId46"/><Relationship Type="http://schemas.openxmlformats.org/officeDocument/2006/relationships/hyperlink" Target="https://example.com/jobs/app-005" TargetMode="External" Id="rId47"/><Relationship Type="http://schemas.openxmlformats.org/officeDocument/2006/relationships/hyperlink" Target="https://example.com/jobs/app-001" TargetMode="External" Id="rId48"/><Relationship Type="http://schemas.openxmlformats.org/officeDocument/2006/relationships/hyperlink" Target="https://example.com/jobs/app-002" TargetMode="External" Id="rId49"/><Relationship Type="http://schemas.openxmlformats.org/officeDocument/2006/relationships/hyperlink" Target="https://example.com/jobs/app-003" TargetMode="External" Id="rId50"/><Relationship Type="http://schemas.openxmlformats.org/officeDocument/2006/relationships/table" Target="/xl/tables/table1.xml" Id="rId5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53515625" customWidth="1" min="1" max="1"/>
    <col width="13.53515625" customWidth="1" min="2" max="2"/>
    <col width="20.3046875" customWidth="1" min="3" max="3"/>
    <col width="25.84375" customWidth="1" min="4" max="4"/>
    <col width="15.69140625" customWidth="1" min="5" max="5"/>
    <col width="9.15234375" customWidth="1" min="6" max="6"/>
    <col width="12.15234375" customWidth="1" min="7" max="7"/>
    <col width="14.3046875" customWidth="1" min="8" max="8"/>
    <col width="20.53515625" customWidth="1" min="9" max="9"/>
    <col width="23.69140625" customWidth="1" min="10" max="10"/>
    <col width="12.3046875" customWidth="1" min="11" max="11"/>
    <col width="24.3046875" customWidth="1" min="12" max="12"/>
    <col width="15.69140625" customWidth="1" min="13" max="13"/>
    <col width="16.3046875" customWidth="1" min="14" max="14"/>
    <col width="12.69140625" customWidth="1" min="15" max="15"/>
    <col width="13" customWidth="1" min="16" max="16"/>
    <col hidden="1" width="12.69140625" customWidth="1" min="17" max="17"/>
    <col width="12.84375" customWidth="1" min="18" max="18"/>
    <col hidden="1" width="8.69140625" customWidth="1" min="19" max="19"/>
    <col width="13" customWidth="1" min="20" max="20"/>
    <col hidden="1" width="16.53515625" customWidth="1" min="21" max="21"/>
  </cols>
  <sheetData>
    <row r="1">
      <c r="A1" s="1" t="inlineStr">
        <is>
          <t>Aktiv</t>
        </is>
      </c>
      <c r="B1" s="1" t="inlineStr">
        <is>
          <t>Alter</t>
        </is>
      </c>
      <c r="C1" s="1" t="inlineStr">
        <is>
          <t>Status</t>
        </is>
      </c>
      <c r="D1" s="1" t="inlineStr">
        <is>
          <t>Position</t>
        </is>
      </c>
      <c r="E1" s="1" t="inlineStr">
        <is>
          <t>Firma</t>
        </is>
      </c>
      <c r="F1" s="1" t="inlineStr">
        <is>
          <t>Land</t>
        </is>
      </c>
      <c r="G1" s="1" t="inlineStr">
        <is>
          <t>Stadt</t>
        </is>
      </c>
      <c r="H1" s="1" t="inlineStr">
        <is>
          <t>Start Datum</t>
        </is>
      </c>
      <c r="I1" s="1" t="inlineStr">
        <is>
          <t>Nächster Schritt</t>
        </is>
      </c>
      <c r="J1" s="1" t="inlineStr">
        <is>
          <t>Nächster Schritt Bemerkung</t>
        </is>
      </c>
      <c r="K1" s="1" t="inlineStr">
        <is>
          <t>Abgeschickt</t>
        </is>
      </c>
      <c r="L1" s="2" t="inlineStr">
        <is>
          <t>Bemerkung</t>
        </is>
      </c>
      <c r="M1" s="1" t="inlineStr">
        <is>
          <t>Deadline Datum</t>
        </is>
      </c>
      <c r="N1" s="1" t="inlineStr">
        <is>
          <t>Kontaktpunkt</t>
        </is>
      </c>
      <c r="O1" s="1" t="inlineStr">
        <is>
          <t>Kontaktperson</t>
        </is>
      </c>
      <c r="P1" s="1" t="inlineStr">
        <is>
          <t>Link</t>
        </is>
      </c>
      <c r="Q1" s="1" t="inlineStr">
        <is>
          <t>Column1</t>
        </is>
      </c>
      <c r="R1" s="3" t="inlineStr">
        <is>
          <t>Index</t>
        </is>
      </c>
      <c r="S1" s="1" t="inlineStr">
        <is>
          <t>StartWoche</t>
        </is>
      </c>
      <c r="T1" s="1" t="inlineStr">
        <is>
          <t>AbgeschicktWoche</t>
        </is>
      </c>
      <c r="U1" s="1" t="inlineStr">
        <is>
          <t>Column2</t>
        </is>
      </c>
    </row>
    <row r="2" ht="24" customHeight="1">
      <c r="A2" s="4" t="inlineStr">
        <is>
          <t>JA</t>
        </is>
      </c>
      <c r="B2" s="5">
        <f>IF(AND(A2="JA", C2&lt;&gt;"Neu"),TODAY()-K2, "")</f>
        <v/>
      </c>
      <c r="C2" s="1" t="inlineStr">
        <is>
          <t>Neu</t>
        </is>
      </c>
      <c r="D2" s="6" t="inlineStr">
        <is>
          <t>Junior Analytics Engineer</t>
        </is>
      </c>
      <c r="E2" s="6" t="inlineStr">
        <is>
          <t>Keystone Insights AG</t>
        </is>
      </c>
      <c r="F2" s="1" t="inlineStr">
        <is>
          <t>CH</t>
        </is>
      </c>
      <c r="G2" t="inlineStr">
        <is>
          <t>Zug</t>
        </is>
      </c>
      <c r="H2" s="7" t="n">
        <v>46286</v>
      </c>
      <c r="I2" s="8" t="n">
        <v>46287</v>
      </c>
      <c r="J2" s="9" t="inlineStr">
        <is>
          <t>Bewerbung verfassen</t>
        </is>
      </c>
      <c r="K2" s="8" t="n"/>
      <c r="L2" s="9" t="inlineStr">
        <is>
          <t>Hybrid</t>
        </is>
      </c>
      <c r="M2" s="8" t="n">
        <v>46294</v>
      </c>
      <c r="N2" s="9" t="inlineStr">
        <is>
          <t>Karriereseite</t>
        </is>
      </c>
      <c r="O2" s="9" t="n"/>
      <c r="P2" s="10" t="inlineStr">
        <is>
          <t>https://example.com/jobs/app-049</t>
        </is>
      </c>
      <c r="Q2" s="11" t="n"/>
      <c r="R2" s="5" t="n">
        <v>49</v>
      </c>
      <c r="S2" s="3">
        <f>IF($H2="", "", WEEKNUM($H2, 2))</f>
        <v/>
      </c>
      <c r="T2" s="3">
        <f>IF($K2="", "", WEEKNUM($K2, 2))</f>
        <v/>
      </c>
      <c r="U2" s="4" t="n"/>
    </row>
    <row r="3" ht="24" customHeight="1">
      <c r="A3" s="4" t="inlineStr">
        <is>
          <t>JA</t>
        </is>
      </c>
      <c r="B3" s="5">
        <f>IF(AND(A3="JA", C3&lt;&gt;"Neu"),TODAY()-K3, "")</f>
        <v/>
      </c>
      <c r="C3" s="1" t="inlineStr">
        <is>
          <t>Neu</t>
        </is>
      </c>
      <c r="D3" s="6" t="inlineStr">
        <is>
          <t>BI Analyst</t>
        </is>
      </c>
      <c r="E3" s="6" t="inlineStr">
        <is>
          <t>Vertex Analytics GmbH</t>
        </is>
      </c>
      <c r="F3" s="1" t="inlineStr">
        <is>
          <t>DE</t>
        </is>
      </c>
      <c r="G3" t="inlineStr">
        <is>
          <t>Augsburg</t>
        </is>
      </c>
      <c r="H3" s="7" t="n">
        <v>46286</v>
      </c>
      <c r="I3" s="8" t="n">
        <v>46288</v>
      </c>
      <c r="J3" s="9" t="inlineStr">
        <is>
          <t>Bewerbung verfassen</t>
        </is>
      </c>
      <c r="K3" s="8" t="n"/>
      <c r="L3" s="9" t="inlineStr">
        <is>
          <t>Hybrid</t>
        </is>
      </c>
      <c r="M3" s="8" t="n">
        <v>46297</v>
      </c>
      <c r="N3" s="9" t="inlineStr">
        <is>
          <t>StepStone</t>
        </is>
      </c>
      <c r="O3" s="9" t="n"/>
      <c r="P3" s="10" t="inlineStr">
        <is>
          <t>https://example.com/jobs/app-050</t>
        </is>
      </c>
      <c r="Q3" s="11" t="n"/>
      <c r="R3" s="5" t="n">
        <v>50</v>
      </c>
      <c r="S3" s="3">
        <f>IF($H3="", "", WEEKNUM($H3, 2))</f>
        <v/>
      </c>
      <c r="T3" s="3">
        <f>IF($K3="", "", WEEKNUM($K3, 2))</f>
        <v/>
      </c>
      <c r="U3" s="4" t="n"/>
    </row>
    <row r="4" ht="24" customHeight="1">
      <c r="A4" s="4" t="inlineStr">
        <is>
          <t>JA</t>
        </is>
      </c>
      <c r="B4" s="5">
        <f>IF(AND(A4="JA", C4&lt;&gt;"Neu"),TODAY()-K4, "")</f>
        <v/>
      </c>
      <c r="C4" s="1" t="inlineStr">
        <is>
          <t>Warte auf Antwort</t>
        </is>
      </c>
      <c r="D4" s="6" t="inlineStr">
        <is>
          <t>Machine Learning Engineer</t>
        </is>
      </c>
      <c r="E4" s="6" t="inlineStr">
        <is>
          <t>Prisma Insights GmbH</t>
        </is>
      </c>
      <c r="F4" s="1" t="inlineStr">
        <is>
          <t>DE</t>
        </is>
      </c>
      <c r="G4" t="inlineStr">
        <is>
          <t>Düsseldorf</t>
        </is>
      </c>
      <c r="H4" s="7" t="n">
        <v>46281</v>
      </c>
      <c r="I4" s="8" t="n">
        <v>46299</v>
      </c>
      <c r="J4" s="9" t="inlineStr">
        <is>
          <t>Nachhaken</t>
        </is>
      </c>
      <c r="K4" s="8" t="n">
        <v>46283</v>
      </c>
      <c r="L4" s="9" t="inlineStr">
        <is>
          <t>Remote möglich</t>
        </is>
      </c>
      <c r="M4" s="8" t="n"/>
      <c r="N4" s="9" t="inlineStr">
        <is>
          <t>StepStone</t>
        </is>
      </c>
      <c r="O4" s="9" t="inlineStr">
        <is>
          <t>Recruiting Team</t>
        </is>
      </c>
      <c r="P4" s="10" t="inlineStr">
        <is>
          <t>https://example.com/jobs/app-047</t>
        </is>
      </c>
      <c r="Q4" s="11" t="n"/>
      <c r="R4" s="5" t="n">
        <v>47</v>
      </c>
      <c r="S4" s="3">
        <f>IF($H4="", "", WEEKNUM($H4, 2))</f>
        <v/>
      </c>
      <c r="T4" s="3">
        <f>IF($K4="", "", WEEKNUM($K4, 2))</f>
        <v/>
      </c>
      <c r="U4" s="4" t="n"/>
    </row>
    <row r="5" ht="24" customHeight="1">
      <c r="A5" s="4" t="inlineStr">
        <is>
          <t>JA</t>
        </is>
      </c>
      <c r="B5" s="5">
        <f>IF(AND(A5="JA", C5&lt;&gt;"Neu"),TODAY()-K5, "")</f>
        <v/>
      </c>
      <c r="C5" s="1" t="inlineStr">
        <is>
          <t>Warte auf Antwort</t>
        </is>
      </c>
      <c r="D5" s="6" t="inlineStr">
        <is>
          <t>Junior Analytics Engineer</t>
        </is>
      </c>
      <c r="E5" s="6" t="inlineStr">
        <is>
          <t>Juniper Data AG</t>
        </is>
      </c>
      <c r="F5" s="1" t="inlineStr">
        <is>
          <t>CH</t>
        </is>
      </c>
      <c r="G5" t="inlineStr">
        <is>
          <t>Bern</t>
        </is>
      </c>
      <c r="H5" s="7" t="n">
        <v>46278</v>
      </c>
      <c r="I5" s="8" t="n">
        <v>46293</v>
      </c>
      <c r="J5" s="9" t="inlineStr">
        <is>
          <t>Nachhaken</t>
        </is>
      </c>
      <c r="K5" s="8" t="n">
        <v>46283</v>
      </c>
      <c r="L5" s="9" t="inlineStr">
        <is>
          <t>Remote möglich</t>
        </is>
      </c>
      <c r="M5" s="8" t="n"/>
      <c r="N5" s="9" t="inlineStr">
        <is>
          <t>Hochschulportal</t>
        </is>
      </c>
      <c r="O5" s="9" t="n"/>
      <c r="P5" s="10" t="inlineStr">
        <is>
          <t>https://example.com/jobs/app-048</t>
        </is>
      </c>
      <c r="Q5" s="11" t="n"/>
      <c r="R5" s="5" t="n">
        <v>48</v>
      </c>
      <c r="S5" s="3">
        <f>IF($H5="", "", WEEKNUM($H5, 2))</f>
        <v/>
      </c>
      <c r="T5" s="3">
        <f>IF($K5="", "", WEEKNUM($K5, 2))</f>
        <v/>
      </c>
      <c r="U5" s="4" t="n"/>
    </row>
    <row r="6" ht="24" customHeight="1">
      <c r="A6" s="4" t="inlineStr">
        <is>
          <t>JA</t>
        </is>
      </c>
      <c r="B6" s="5">
        <f>IF(AND(A6="JA", C6&lt;&gt;"Neu"),TODAY()-K6, "")</f>
        <v/>
      </c>
      <c r="C6" s="1" t="inlineStr">
        <is>
          <t>Interview</t>
        </is>
      </c>
      <c r="D6" s="6" t="inlineStr">
        <is>
          <t>Junior Data Analyst</t>
        </is>
      </c>
      <c r="E6" s="6" t="inlineStr">
        <is>
          <t>Oak Data Systems GmbH</t>
        </is>
      </c>
      <c r="F6" s="1" t="inlineStr">
        <is>
          <t>DE</t>
        </is>
      </c>
      <c r="G6" t="inlineStr">
        <is>
          <t>Frankfurt</t>
        </is>
      </c>
      <c r="H6" s="7" t="n">
        <v>46279</v>
      </c>
      <c r="I6" s="8" t="n">
        <v>46295</v>
      </c>
      <c r="J6" s="9" t="inlineStr">
        <is>
          <t>Interview vorbereiten</t>
        </is>
      </c>
      <c r="K6" s="8" t="n">
        <v>46280</v>
      </c>
      <c r="L6" s="9" t="inlineStr">
        <is>
          <t>Hybrid</t>
        </is>
      </c>
      <c r="M6" s="8" t="n"/>
      <c r="N6" s="9" t="inlineStr">
        <is>
          <t>Hochschulportal</t>
        </is>
      </c>
      <c r="O6" s="9" t="n"/>
      <c r="P6" s="10" t="inlineStr">
        <is>
          <t>https://example.com/jobs/app-045</t>
        </is>
      </c>
      <c r="Q6" s="11" t="n"/>
      <c r="R6" s="5" t="n">
        <v>45</v>
      </c>
      <c r="S6" s="3">
        <f>IF($H6="", "", WEEKNUM($H6, 2))</f>
        <v/>
      </c>
      <c r="T6" s="3">
        <f>IF($K6="", "", WEEKNUM($K6, 2))</f>
        <v/>
      </c>
      <c r="U6" s="4" t="n"/>
    </row>
    <row r="7" ht="24" customHeight="1">
      <c r="A7" s="4" t="inlineStr">
        <is>
          <t>JA</t>
        </is>
      </c>
      <c r="B7" s="5">
        <f>IF(AND(A7="JA", C7&lt;&gt;"Neu"),TODAY()-K7, "")</f>
        <v/>
      </c>
      <c r="C7" s="1" t="inlineStr">
        <is>
          <t>Warte auf Antwort</t>
        </is>
      </c>
      <c r="D7" s="6" t="inlineStr">
        <is>
          <t>Data &amp; BI Specialist</t>
        </is>
      </c>
      <c r="E7" s="6" t="inlineStr">
        <is>
          <t>Tyrol Metrics GmbH</t>
        </is>
      </c>
      <c r="F7" s="1" t="inlineStr">
        <is>
          <t>AT</t>
        </is>
      </c>
      <c r="G7" t="inlineStr">
        <is>
          <t>Salzburg</t>
        </is>
      </c>
      <c r="H7" s="7" t="n">
        <v>46278</v>
      </c>
      <c r="I7" s="8" t="n">
        <v>46290</v>
      </c>
      <c r="J7" s="9" t="inlineStr">
        <is>
          <t>Nachhaken</t>
        </is>
      </c>
      <c r="K7" s="8" t="n">
        <v>46280</v>
      </c>
      <c r="L7" s="9" t="inlineStr">
        <is>
          <t>Hybrid</t>
        </is>
      </c>
      <c r="M7" s="8" t="n"/>
      <c r="N7" s="9" t="inlineStr">
        <is>
          <t>Karriereseite</t>
        </is>
      </c>
      <c r="O7" s="9" t="n"/>
      <c r="P7" s="10" t="inlineStr">
        <is>
          <t>https://example.com/jobs/app-046</t>
        </is>
      </c>
      <c r="Q7" s="11" t="n"/>
      <c r="R7" s="5" t="n">
        <v>46</v>
      </c>
      <c r="S7" s="3">
        <f>IF($H7="", "", WEEKNUM($H7, 2))</f>
        <v/>
      </c>
      <c r="T7" s="3">
        <f>IF($K7="", "", WEEKNUM($K7, 2))</f>
        <v/>
      </c>
      <c r="U7" s="4" t="n"/>
    </row>
    <row r="8" ht="24" customHeight="1">
      <c r="A8" s="4" t="inlineStr">
        <is>
          <t>JA</t>
        </is>
      </c>
      <c r="B8" s="5">
        <f>IF(AND(A8="JA", C8&lt;&gt;"Neu"),TODAY()-K8, "")</f>
        <v/>
      </c>
      <c r="C8" s="1" t="inlineStr">
        <is>
          <t>Warte auf Antwort</t>
        </is>
      </c>
      <c r="D8" s="6" t="inlineStr">
        <is>
          <t>Machine Learning Engineer</t>
        </is>
      </c>
      <c r="E8" s="6" t="inlineStr">
        <is>
          <t>Mosaic Analytics GmbH</t>
        </is>
      </c>
      <c r="F8" s="1" t="inlineStr">
        <is>
          <t>DE</t>
        </is>
      </c>
      <c r="G8" t="inlineStr">
        <is>
          <t>Bonn</t>
        </is>
      </c>
      <c r="H8" s="7" t="n">
        <v>46276</v>
      </c>
      <c r="I8" s="8" t="n">
        <v>46291</v>
      </c>
      <c r="J8" s="9" t="inlineStr">
        <is>
          <t>Nachhaken</t>
        </is>
      </c>
      <c r="K8" s="8" t="n">
        <v>46279</v>
      </c>
      <c r="L8" s="9" t="inlineStr">
        <is>
          <t>Hybrid</t>
        </is>
      </c>
      <c r="M8" s="8" t="n"/>
      <c r="N8" s="9" t="inlineStr">
        <is>
          <t>Karriereseite</t>
        </is>
      </c>
      <c r="O8" s="9" t="inlineStr">
        <is>
          <t>Recruiting Team</t>
        </is>
      </c>
      <c r="P8" s="10" t="inlineStr">
        <is>
          <t>https://example.com/jobs/app-044</t>
        </is>
      </c>
      <c r="Q8" s="11" t="n"/>
      <c r="R8" s="5" t="n">
        <v>44</v>
      </c>
      <c r="S8" s="3">
        <f>IF($H8="", "", WEEKNUM($H8, 2))</f>
        <v/>
      </c>
      <c r="T8" s="3">
        <f>IF($K8="", "", WEEKNUM($K8, 2))</f>
        <v/>
      </c>
      <c r="U8" s="4" t="n"/>
    </row>
    <row r="9" ht="24" customHeight="1">
      <c r="A9" s="4" t="inlineStr">
        <is>
          <t>JA</t>
        </is>
      </c>
      <c r="B9" s="5">
        <f>IF(AND(A9="JA", C9&lt;&gt;"Neu"),TODAY()-K9, "")</f>
        <v/>
      </c>
      <c r="C9" s="1" t="inlineStr">
        <is>
          <t>Warte auf Antwort</t>
        </is>
      </c>
      <c r="D9" s="6" t="inlineStr">
        <is>
          <t>Junior Data Scientist</t>
        </is>
      </c>
      <c r="E9" s="6" t="inlineStr">
        <is>
          <t>Harbor Metrics AG</t>
        </is>
      </c>
      <c r="F9" s="1" t="inlineStr">
        <is>
          <t>CH</t>
        </is>
      </c>
      <c r="G9" t="inlineStr">
        <is>
          <t>Aarau</t>
        </is>
      </c>
      <c r="H9" s="7" t="n">
        <v>46274</v>
      </c>
      <c r="I9" s="8" t="n">
        <v>46290</v>
      </c>
      <c r="J9" s="9" t="inlineStr">
        <is>
          <t>Nachhaken</t>
        </is>
      </c>
      <c r="K9" s="8" t="n">
        <v>46276</v>
      </c>
      <c r="L9" s="9" t="n"/>
      <c r="M9" s="8" t="n"/>
      <c r="N9" s="9" t="inlineStr">
        <is>
          <t>Empfehlung</t>
        </is>
      </c>
      <c r="O9" s="9" t="n"/>
      <c r="P9" s="10" t="inlineStr">
        <is>
          <t>https://example.com/jobs/app-041</t>
        </is>
      </c>
      <c r="Q9" s="11" t="n"/>
      <c r="R9" s="5" t="n">
        <v>41</v>
      </c>
      <c r="S9" s="3">
        <f>IF($H9="", "", WEEKNUM($H9, 2))</f>
        <v/>
      </c>
      <c r="T9" s="3">
        <f>IF($K9="", "", WEEKNUM($K9, 2))</f>
        <v/>
      </c>
      <c r="U9" s="4" t="n"/>
    </row>
    <row r="10" ht="24" customHeight="1">
      <c r="A10" s="4" t="inlineStr">
        <is>
          <t>JA</t>
        </is>
      </c>
      <c r="B10" s="5">
        <f>IF(AND(A10="JA", C10&lt;&gt;"Neu"),TODAY()-K10, "")</f>
        <v/>
      </c>
      <c r="C10" s="1" t="inlineStr">
        <is>
          <t>Warte auf weitere Antwort</t>
        </is>
      </c>
      <c r="D10" s="6" t="inlineStr">
        <is>
          <t>Data Analytics Engineer</t>
        </is>
      </c>
      <c r="E10" s="6" t="inlineStr">
        <is>
          <t>Iris Analytics AG</t>
        </is>
      </c>
      <c r="F10" s="1" t="inlineStr">
        <is>
          <t>CH</t>
        </is>
      </c>
      <c r="G10" t="inlineStr">
        <is>
          <t>Bern</t>
        </is>
      </c>
      <c r="H10" s="7" t="n">
        <v>46276</v>
      </c>
      <c r="I10" s="8" t="n">
        <v>46293</v>
      </c>
      <c r="J10" s="9" t="inlineStr">
        <is>
          <t>Rückmeldung abwarten</t>
        </is>
      </c>
      <c r="K10" s="8" t="n">
        <v>46276</v>
      </c>
      <c r="L10" s="9" t="inlineStr">
        <is>
          <t>Remote möglich</t>
        </is>
      </c>
      <c r="M10" s="8" t="n"/>
      <c r="N10" s="9" t="inlineStr">
        <is>
          <t>Indeed</t>
        </is>
      </c>
      <c r="O10" s="9" t="inlineStr">
        <is>
          <t>Recruiting Team</t>
        </is>
      </c>
      <c r="P10" s="10" t="inlineStr">
        <is>
          <t>https://example.com/jobs/app-042</t>
        </is>
      </c>
      <c r="Q10" s="11" t="n"/>
      <c r="R10" s="5" t="n">
        <v>42</v>
      </c>
      <c r="S10" s="3">
        <f>IF($H10="", "", WEEKNUM($H10, 2))</f>
        <v/>
      </c>
      <c r="T10" s="3">
        <f>IF($K10="", "", WEEKNUM($K10, 2))</f>
        <v/>
      </c>
      <c r="U10" s="4" t="n"/>
    </row>
    <row r="11" ht="24" customHeight="1">
      <c r="A11" s="4" t="inlineStr">
        <is>
          <t>JA</t>
        </is>
      </c>
      <c r="B11" s="5">
        <f>IF(AND(A11="JA", C11&lt;&gt;"Neu"),TODAY()-K11, "")</f>
        <v/>
      </c>
      <c r="C11" s="1" t="inlineStr">
        <is>
          <t>Warte auf Antwort</t>
        </is>
      </c>
      <c r="D11" s="6" t="inlineStr">
        <is>
          <t>Business Intelligence Analyst</t>
        </is>
      </c>
      <c r="E11" s="6" t="inlineStr">
        <is>
          <t>Nexus BI GmbH</t>
        </is>
      </c>
      <c r="F11" s="1" t="inlineStr">
        <is>
          <t>DE</t>
        </is>
      </c>
      <c r="G11" t="inlineStr">
        <is>
          <t>Hamburg</t>
        </is>
      </c>
      <c r="H11" s="7" t="n">
        <v>46274</v>
      </c>
      <c r="I11" s="8" t="n">
        <v>46294</v>
      </c>
      <c r="J11" s="9" t="inlineStr">
        <is>
          <t>Nachhaken</t>
        </is>
      </c>
      <c r="K11" s="8" t="n">
        <v>46276</v>
      </c>
      <c r="L11" s="9" t="n"/>
      <c r="M11" s="8" t="n"/>
      <c r="N11" s="9" t="inlineStr">
        <is>
          <t>Hochschulportal</t>
        </is>
      </c>
      <c r="O11" s="9" t="inlineStr">
        <is>
          <t>Recruiting Team</t>
        </is>
      </c>
      <c r="P11" s="10" t="inlineStr">
        <is>
          <t>https://example.com/jobs/app-043</t>
        </is>
      </c>
      <c r="Q11" s="11" t="n"/>
      <c r="R11" s="5" t="n">
        <v>43</v>
      </c>
      <c r="S11" s="3">
        <f>IF($H11="", "", WEEKNUM($H11, 2))</f>
        <v/>
      </c>
      <c r="T11" s="3">
        <f>IF($K11="", "", WEEKNUM($K11, 2))</f>
        <v/>
      </c>
      <c r="U11" s="4" t="n"/>
    </row>
    <row r="12" ht="24" customHeight="1">
      <c r="A12" s="4" t="inlineStr">
        <is>
          <t>JA</t>
        </is>
      </c>
      <c r="B12" s="5">
        <f>IF(AND(A12="JA", C12&lt;&gt;"Neu"),TODAY()-K12, "")</f>
        <v/>
      </c>
      <c r="C12" s="1" t="inlineStr">
        <is>
          <t>Warte auf Antwort</t>
        </is>
      </c>
      <c r="D12" s="6" t="inlineStr">
        <is>
          <t>Junior Analytics Engineer</t>
        </is>
      </c>
      <c r="E12" s="6" t="inlineStr">
        <is>
          <t>Pixel Data Works GmbH</t>
        </is>
      </c>
      <c r="F12" s="1" t="inlineStr">
        <is>
          <t>DE</t>
        </is>
      </c>
      <c r="G12" t="inlineStr">
        <is>
          <t>Düsseldorf</t>
        </is>
      </c>
      <c r="H12" s="7" t="n">
        <v>46272</v>
      </c>
      <c r="I12" s="8" t="n">
        <v>46291</v>
      </c>
      <c r="J12" s="9" t="inlineStr">
        <is>
          <t>Nachhaken</t>
        </is>
      </c>
      <c r="K12" s="8" t="n">
        <v>46275</v>
      </c>
      <c r="L12" s="9" t="inlineStr">
        <is>
          <t>Hybrid</t>
        </is>
      </c>
      <c r="M12" s="8" t="n"/>
      <c r="N12" s="9" t="inlineStr">
        <is>
          <t>Karriereseite</t>
        </is>
      </c>
      <c r="O12" s="9" t="n"/>
      <c r="P12" s="10" t="inlineStr">
        <is>
          <t>https://example.com/jobs/app-039</t>
        </is>
      </c>
      <c r="Q12" s="11" t="n"/>
      <c r="R12" s="5" t="n">
        <v>39</v>
      </c>
      <c r="S12" s="3">
        <f>IF($H12="", "", WEEKNUM($H12, 2))</f>
        <v/>
      </c>
      <c r="T12" s="3">
        <f>IF($K12="", "", WEEKNUM($K12, 2))</f>
        <v/>
      </c>
      <c r="U12" s="4" t="n"/>
    </row>
    <row r="13" ht="24" customHeight="1">
      <c r="A13" s="4" t="inlineStr">
        <is>
          <t>JA</t>
        </is>
      </c>
      <c r="B13" s="5">
        <f>IF(AND(A13="JA", C13&lt;&gt;"Neu"),TODAY()-K13, "")</f>
        <v/>
      </c>
      <c r="C13" s="1" t="inlineStr">
        <is>
          <t>Warte auf weitere Antwort</t>
        </is>
      </c>
      <c r="D13" s="6" t="inlineStr">
        <is>
          <t>Junior Data Analyst</t>
        </is>
      </c>
      <c r="E13" s="6" t="inlineStr">
        <is>
          <t>Granite Data Labs AG</t>
        </is>
      </c>
      <c r="F13" s="1" t="inlineStr">
        <is>
          <t>CH</t>
        </is>
      </c>
      <c r="G13" t="inlineStr">
        <is>
          <t>St. Gallen</t>
        </is>
      </c>
      <c r="H13" s="7" t="n">
        <v>46271</v>
      </c>
      <c r="I13" s="8" t="n">
        <v>46293</v>
      </c>
      <c r="J13" s="9" t="inlineStr">
        <is>
          <t>Rückmeldung abwarten</t>
        </is>
      </c>
      <c r="K13" s="8" t="n">
        <v>46275</v>
      </c>
      <c r="L13" s="9" t="inlineStr">
        <is>
          <t>Traineeprogramm</t>
        </is>
      </c>
      <c r="M13" s="8" t="n">
        <v>46282</v>
      </c>
      <c r="N13" s="9" t="inlineStr">
        <is>
          <t>Indeed</t>
        </is>
      </c>
      <c r="O13" s="9" t="n"/>
      <c r="P13" s="10" t="inlineStr">
        <is>
          <t>https://example.com/jobs/app-040</t>
        </is>
      </c>
      <c r="Q13" s="11" t="n"/>
      <c r="R13" s="5" t="n">
        <v>40</v>
      </c>
      <c r="S13" s="3">
        <f>IF($H13="", "", WEEKNUM($H13, 2))</f>
        <v/>
      </c>
      <c r="T13" s="3">
        <f>IF($K13="", "", WEEKNUM($K13, 2))</f>
        <v/>
      </c>
      <c r="U13" s="4" t="n"/>
    </row>
    <row r="14" ht="24" customHeight="1">
      <c r="A14" s="4" t="inlineStr">
        <is>
          <t>JA</t>
        </is>
      </c>
      <c r="B14" s="5">
        <f>IF(AND(A14="JA", C14&lt;&gt;"Neu"),TODAY()-K14, "")</f>
        <v/>
      </c>
      <c r="C14" s="1" t="inlineStr">
        <is>
          <t>Interview</t>
        </is>
      </c>
      <c r="D14" s="6" t="inlineStr">
        <is>
          <t>Data Quality Analyst</t>
        </is>
      </c>
      <c r="E14" s="6" t="inlineStr">
        <is>
          <t>Evergreen Data AG</t>
        </is>
      </c>
      <c r="F14" s="1" t="inlineStr">
        <is>
          <t>CH</t>
        </is>
      </c>
      <c r="G14" t="inlineStr">
        <is>
          <t>Zug</t>
        </is>
      </c>
      <c r="H14" s="7" t="n">
        <v>46271</v>
      </c>
      <c r="I14" s="8" t="n">
        <v>46288</v>
      </c>
      <c r="J14" s="9" t="inlineStr">
        <is>
          <t>Interview vorbereiten</t>
        </is>
      </c>
      <c r="K14" s="8" t="n">
        <v>46273</v>
      </c>
      <c r="L14" s="9" t="inlineStr">
        <is>
          <t>Hybrid</t>
        </is>
      </c>
      <c r="M14" s="8" t="n"/>
      <c r="N14" s="9" t="inlineStr">
        <is>
          <t>LinkedIn</t>
        </is>
      </c>
      <c r="O14" s="9" t="n"/>
      <c r="P14" s="10" t="inlineStr">
        <is>
          <t>https://example.com/jobs/app-037</t>
        </is>
      </c>
      <c r="Q14" s="11" t="n"/>
      <c r="R14" s="5" t="n">
        <v>37</v>
      </c>
      <c r="S14" s="3">
        <f>IF($H14="", "", WEEKNUM($H14, 2))</f>
        <v/>
      </c>
      <c r="T14" s="3">
        <f>IF($K14="", "", WEEKNUM($K14, 2))</f>
        <v/>
      </c>
      <c r="U14" s="4" t="n"/>
    </row>
    <row r="15" ht="24" customHeight="1">
      <c r="A15" s="4" t="inlineStr">
        <is>
          <t>JA</t>
        </is>
      </c>
      <c r="B15" s="5">
        <f>IF(AND(A15="JA", C15&lt;&gt;"Neu"),TODAY()-K15, "")</f>
        <v/>
      </c>
      <c r="C15" s="1" t="inlineStr">
        <is>
          <t>Warte auf weitere Antwort</t>
        </is>
      </c>
      <c r="D15" s="6" t="inlineStr">
        <is>
          <t>Digital Analytics Trainee</t>
        </is>
      </c>
      <c r="E15" s="6" t="inlineStr">
        <is>
          <t>Fjord Analytics AG</t>
        </is>
      </c>
      <c r="F15" s="1" t="inlineStr">
        <is>
          <t>CH</t>
        </is>
      </c>
      <c r="G15" t="inlineStr">
        <is>
          <t>Zug</t>
        </is>
      </c>
      <c r="H15" s="7" t="n">
        <v>46272</v>
      </c>
      <c r="I15" s="8" t="n">
        <v>46289</v>
      </c>
      <c r="J15" s="9" t="inlineStr">
        <is>
          <t>Rückmeldung abwarten</t>
        </is>
      </c>
      <c r="K15" s="8" t="n">
        <v>46273</v>
      </c>
      <c r="L15" s="9" t="inlineStr">
        <is>
          <t>Hybrid</t>
        </is>
      </c>
      <c r="M15" s="8" t="n"/>
      <c r="N15" s="9" t="inlineStr">
        <is>
          <t>LinkedIn</t>
        </is>
      </c>
      <c r="O15" s="9" t="inlineStr">
        <is>
          <t>Recruiting Team</t>
        </is>
      </c>
      <c r="P15" s="10" t="inlineStr">
        <is>
          <t>https://example.com/jobs/app-038</t>
        </is>
      </c>
      <c r="Q15" s="11" t="n"/>
      <c r="R15" s="5" t="n">
        <v>38</v>
      </c>
      <c r="S15" s="3">
        <f>IF($H15="", "", WEEKNUM($H15, 2))</f>
        <v/>
      </c>
      <c r="T15" s="3">
        <f>IF($K15="", "", WEEKNUM($K15, 2))</f>
        <v/>
      </c>
      <c r="U15" s="4" t="n"/>
    </row>
    <row r="16" ht="24" customHeight="1">
      <c r="A16" s="4" t="inlineStr">
        <is>
          <t>NEIN</t>
        </is>
      </c>
      <c r="B16" s="5">
        <f>IF(AND(A16="JA", C16&lt;&gt;"Neu"),TODAY()-K16, "")</f>
        <v/>
      </c>
      <c r="C16" s="1" t="inlineStr">
        <is>
          <t>Keine Antwort</t>
        </is>
      </c>
      <c r="D16" s="6" t="inlineStr">
        <is>
          <t>Data Analyst</t>
        </is>
      </c>
      <c r="E16" s="6" t="inlineStr">
        <is>
          <t>Blackforest Insights GmbH</t>
        </is>
      </c>
      <c r="F16" s="1" t="inlineStr">
        <is>
          <t>DE</t>
        </is>
      </c>
      <c r="G16" t="inlineStr">
        <is>
          <t>Augsburg</t>
        </is>
      </c>
      <c r="H16" s="7" t="n">
        <v>46269</v>
      </c>
      <c r="I16" s="8" t="n"/>
      <c r="J16" s="9" t="n"/>
      <c r="K16" s="8" t="n">
        <v>46269</v>
      </c>
      <c r="L16" s="9" t="n"/>
      <c r="M16" s="8" t="n"/>
      <c r="N16" s="9" t="inlineStr">
        <is>
          <t>StepStone</t>
        </is>
      </c>
      <c r="O16" s="9" t="n"/>
      <c r="P16" s="10" t="inlineStr">
        <is>
          <t>https://example.com/jobs/app-035</t>
        </is>
      </c>
      <c r="Q16" s="11" t="n"/>
      <c r="R16" s="5" t="n">
        <v>35</v>
      </c>
      <c r="S16" s="3">
        <f>IF($H16="", "", WEEKNUM($H16, 2))</f>
        <v/>
      </c>
      <c r="T16" s="3">
        <f>IF($K16="", "", WEEKNUM($K16, 2))</f>
        <v/>
      </c>
      <c r="U16" s="4" t="n"/>
    </row>
    <row r="17" ht="24" customHeight="1">
      <c r="A17" s="4" t="inlineStr">
        <is>
          <t>NEIN</t>
        </is>
      </c>
      <c r="B17" s="5">
        <f>IF(AND(A17="JA", C17&lt;&gt;"Neu"),TODAY()-K17, "")</f>
        <v/>
      </c>
      <c r="C17" s="1" t="inlineStr">
        <is>
          <t>Abgelehnt</t>
        </is>
      </c>
      <c r="D17" s="6" t="inlineStr">
        <is>
          <t>Graduate Data Engineer</t>
        </is>
      </c>
      <c r="E17" s="6" t="inlineStr">
        <is>
          <t>Komet Analytics GmbH</t>
        </is>
      </c>
      <c r="F17" s="1" t="inlineStr">
        <is>
          <t>DE</t>
        </is>
      </c>
      <c r="G17" t="inlineStr">
        <is>
          <t>Frankfurt</t>
        </is>
      </c>
      <c r="H17" s="7" t="n">
        <v>46266</v>
      </c>
      <c r="I17" s="8" t="n"/>
      <c r="J17" s="9" t="n"/>
      <c r="K17" s="8" t="n">
        <v>46269</v>
      </c>
      <c r="L17" s="9" t="inlineStr">
        <is>
          <t>Traineeprogramm</t>
        </is>
      </c>
      <c r="M17" s="8" t="n"/>
      <c r="N17" s="9" t="inlineStr">
        <is>
          <t>Empfehlung</t>
        </is>
      </c>
      <c r="O17" s="9" t="inlineStr">
        <is>
          <t>Recruiting Team</t>
        </is>
      </c>
      <c r="P17" s="10" t="inlineStr">
        <is>
          <t>https://example.com/jobs/app-036</t>
        </is>
      </c>
      <c r="Q17" s="11" t="n"/>
      <c r="R17" s="5" t="n">
        <v>36</v>
      </c>
      <c r="S17" s="3">
        <f>IF($H17="", "", WEEKNUM($H17, 2))</f>
        <v/>
      </c>
      <c r="T17" s="3">
        <f>IF($K17="", "", WEEKNUM($K17, 2))</f>
        <v/>
      </c>
      <c r="U17" s="4" t="n"/>
    </row>
    <row r="18" ht="24" customHeight="1">
      <c r="A18" s="4" t="inlineStr">
        <is>
          <t>NEIN</t>
        </is>
      </c>
      <c r="B18" s="5">
        <f>IF(AND(A18="JA", C18&lt;&gt;"Neu"),TODAY()-K18, "")</f>
        <v/>
      </c>
      <c r="C18" s="1" t="inlineStr">
        <is>
          <t>Keine Antwort</t>
        </is>
      </c>
      <c r="D18" s="6" t="inlineStr">
        <is>
          <t>Graduate Data Engineer</t>
        </is>
      </c>
      <c r="E18" s="6" t="inlineStr">
        <is>
          <t>Delta Insights AG</t>
        </is>
      </c>
      <c r="F18" s="1" t="inlineStr">
        <is>
          <t>CH</t>
        </is>
      </c>
      <c r="G18" t="inlineStr">
        <is>
          <t>Zug</t>
        </is>
      </c>
      <c r="H18" s="7" t="n">
        <v>46268</v>
      </c>
      <c r="I18" s="8" t="n"/>
      <c r="J18" s="9" t="n"/>
      <c r="K18" s="8" t="n">
        <v>46268</v>
      </c>
      <c r="L18" s="9" t="n"/>
      <c r="M18" s="8" t="n"/>
      <c r="N18" s="9" t="inlineStr">
        <is>
          <t>LinkedIn</t>
        </is>
      </c>
      <c r="O18" s="9" t="inlineStr">
        <is>
          <t>Recruiting Team</t>
        </is>
      </c>
      <c r="P18" s="10" t="inlineStr">
        <is>
          <t>https://example.com/jobs/app-034</t>
        </is>
      </c>
      <c r="Q18" s="11" t="n"/>
      <c r="R18" s="5" t="n">
        <v>34</v>
      </c>
      <c r="S18" s="3">
        <f>IF($H18="", "", WEEKNUM($H18, 2))</f>
        <v/>
      </c>
      <c r="T18" s="3">
        <f>IF($K18="", "", WEEKNUM($K18, 2))</f>
        <v/>
      </c>
      <c r="U18" s="4" t="n"/>
    </row>
    <row r="19" ht="24" customHeight="1">
      <c r="A19" s="4" t="inlineStr">
        <is>
          <t>NEIN</t>
        </is>
      </c>
      <c r="B19" s="5">
        <f>IF(AND(A19="JA", C19&lt;&gt;"Neu"),TODAY()-K19, "")</f>
        <v/>
      </c>
      <c r="C19" s="1" t="inlineStr">
        <is>
          <t>Abgelehnt</t>
        </is>
      </c>
      <c r="D19" s="6" t="inlineStr">
        <is>
          <t>Data Scientist</t>
        </is>
      </c>
      <c r="E19" s="6" t="inlineStr">
        <is>
          <t>Cloudline Analytics AG</t>
        </is>
      </c>
      <c r="F19" s="1" t="inlineStr">
        <is>
          <t>CH</t>
        </is>
      </c>
      <c r="G19" t="inlineStr">
        <is>
          <t>Bern</t>
        </is>
      </c>
      <c r="H19" s="7" t="n">
        <v>46266</v>
      </c>
      <c r="I19" s="8" t="n"/>
      <c r="J19" s="9" t="n"/>
      <c r="K19" s="8" t="n">
        <v>46267</v>
      </c>
      <c r="L19" s="9" t="n"/>
      <c r="M19" s="8" t="n"/>
      <c r="N19" s="9" t="inlineStr">
        <is>
          <t>Empfehlung</t>
        </is>
      </c>
      <c r="O19" s="9" t="n"/>
      <c r="P19" s="10" t="inlineStr">
        <is>
          <t>https://example.com/jobs/app-033</t>
        </is>
      </c>
      <c r="Q19" s="11" t="n"/>
      <c r="R19" s="5" t="n">
        <v>33</v>
      </c>
      <c r="S19" s="3">
        <f>IF($H19="", "", WEEKNUM($H19, 2))</f>
        <v/>
      </c>
      <c r="T19" s="3">
        <f>IF($K19="", "", WEEKNUM($K19, 2))</f>
        <v/>
      </c>
      <c r="U19" s="4" t="n"/>
    </row>
    <row r="20" ht="24" customHeight="1">
      <c r="A20" s="4" t="inlineStr">
        <is>
          <t>NEIN</t>
        </is>
      </c>
      <c r="B20" s="5">
        <f>IF(AND(A20="JA", C20&lt;&gt;"Neu"),TODAY()-K20, "")</f>
        <v/>
      </c>
      <c r="C20" s="1" t="inlineStr">
        <is>
          <t>Nicht mehr verfügbar</t>
        </is>
      </c>
      <c r="D20" s="6" t="inlineStr">
        <is>
          <t>Junior Python Data Engineer</t>
        </is>
      </c>
      <c r="E20" s="6" t="inlineStr">
        <is>
          <t>Atlas Metrics AG</t>
        </is>
      </c>
      <c r="F20" s="1" t="inlineStr">
        <is>
          <t>CH</t>
        </is>
      </c>
      <c r="G20" t="inlineStr">
        <is>
          <t>St. Gallen</t>
        </is>
      </c>
      <c r="H20" s="7" t="n">
        <v>46263</v>
      </c>
      <c r="I20" s="8" t="n"/>
      <c r="J20" s="9" t="n"/>
      <c r="K20" s="8" t="n">
        <v>46266</v>
      </c>
      <c r="L20" s="9" t="inlineStr">
        <is>
          <t>Traineeprogramm</t>
        </is>
      </c>
      <c r="M20" s="8" t="n"/>
      <c r="N20" s="9" t="inlineStr">
        <is>
          <t>Indeed</t>
        </is>
      </c>
      <c r="O20" s="9" t="n"/>
      <c r="P20" s="10" t="inlineStr">
        <is>
          <t>https://example.com/jobs/app-031</t>
        </is>
      </c>
      <c r="Q20" s="11" t="n"/>
      <c r="R20" s="5" t="n">
        <v>31</v>
      </c>
      <c r="S20" s="3">
        <f>IF($H20="", "", WEEKNUM($H20, 2))</f>
        <v/>
      </c>
      <c r="T20" s="3">
        <f>IF($K20="", "", WEEKNUM($K20, 2))</f>
        <v/>
      </c>
      <c r="U20" s="4" t="n"/>
    </row>
    <row r="21" ht="24" customHeight="1">
      <c r="A21" s="4" t="inlineStr">
        <is>
          <t>NEIN</t>
        </is>
      </c>
      <c r="B21" s="5">
        <f>IF(AND(A21="JA", C21&lt;&gt;"Neu"),TODAY()-K21, "")</f>
        <v/>
      </c>
      <c r="C21" s="1" t="inlineStr">
        <is>
          <t>Abgelehnt</t>
        </is>
      </c>
      <c r="D21" s="6" t="inlineStr">
        <is>
          <t>Data Scientist</t>
        </is>
      </c>
      <c r="E21" s="6" t="inlineStr">
        <is>
          <t>Birch Data Systems AG</t>
        </is>
      </c>
      <c r="F21" s="1" t="inlineStr">
        <is>
          <t>CH</t>
        </is>
      </c>
      <c r="G21" t="inlineStr">
        <is>
          <t>Winterthur</t>
        </is>
      </c>
      <c r="H21" s="7" t="n">
        <v>46261</v>
      </c>
      <c r="I21" s="8" t="n"/>
      <c r="J21" s="9" t="n"/>
      <c r="K21" s="8" t="n">
        <v>46266</v>
      </c>
      <c r="L21" s="9" t="inlineStr">
        <is>
          <t>Traineeprogramm</t>
        </is>
      </c>
      <c r="M21" s="8" t="n"/>
      <c r="N21" s="9" t="inlineStr">
        <is>
          <t>LinkedIn</t>
        </is>
      </c>
      <c r="O21" s="9" t="n"/>
      <c r="P21" s="10" t="inlineStr">
        <is>
          <t>https://example.com/jobs/app-032</t>
        </is>
      </c>
      <c r="Q21" s="11" t="n"/>
      <c r="R21" s="5" t="n">
        <v>32</v>
      </c>
      <c r="S21" s="3">
        <f>IF($H21="", "", WEEKNUM($H21, 2))</f>
        <v/>
      </c>
      <c r="T21" s="3">
        <f>IF($K21="", "", WEEKNUM($K21, 2))</f>
        <v/>
      </c>
      <c r="U21" s="4" t="n"/>
    </row>
    <row r="22" ht="24" customHeight="1">
      <c r="A22" s="4" t="inlineStr">
        <is>
          <t>NEIN</t>
        </is>
      </c>
      <c r="B22" s="5">
        <f>IF(AND(A22="JA", C22&lt;&gt;"Neu"),TODAY()-K22, "")</f>
        <v/>
      </c>
      <c r="C22" s="1" t="inlineStr">
        <is>
          <t>Abgelehnt</t>
        </is>
      </c>
      <c r="D22" s="6" t="inlineStr">
        <is>
          <t>Data Analytics Engineer</t>
        </is>
      </c>
      <c r="E22" s="6" t="inlineStr">
        <is>
          <t>Zenith Analytics AG</t>
        </is>
      </c>
      <c r="F22" s="1" t="inlineStr">
        <is>
          <t>CH</t>
        </is>
      </c>
      <c r="G22" t="inlineStr">
        <is>
          <t>Aarau</t>
        </is>
      </c>
      <c r="H22" s="7" t="n">
        <v>46261</v>
      </c>
      <c r="I22" s="8" t="n"/>
      <c r="J22" s="9" t="n"/>
      <c r="K22" s="8" t="n">
        <v>46265</v>
      </c>
      <c r="L22" s="9" t="n"/>
      <c r="M22" s="8" t="n">
        <v>46271</v>
      </c>
      <c r="N22" s="9" t="inlineStr">
        <is>
          <t>StepStone</t>
        </is>
      </c>
      <c r="O22" s="9" t="n"/>
      <c r="P22" s="10" t="inlineStr">
        <is>
          <t>https://example.com/jobs/app-029</t>
        </is>
      </c>
      <c r="Q22" s="11" t="n"/>
      <c r="R22" s="5" t="n">
        <v>29</v>
      </c>
      <c r="S22" s="3">
        <f>IF($H22="", "", WEEKNUM($H22, 2))</f>
        <v/>
      </c>
      <c r="T22" s="3">
        <f>IF($K22="", "", WEEKNUM($K22, 2))</f>
        <v/>
      </c>
      <c r="U22" s="4" t="n"/>
    </row>
    <row r="23" ht="24" customHeight="1">
      <c r="A23" s="4" t="inlineStr">
        <is>
          <t>NEIN</t>
        </is>
      </c>
      <c r="B23" s="5">
        <f>IF(AND(A23="JA", C23&lt;&gt;"Neu"),TODAY()-K23, "")</f>
        <v/>
      </c>
      <c r="C23" s="1" t="inlineStr">
        <is>
          <t>Abgelehnt nach Interview</t>
        </is>
      </c>
      <c r="D23" s="6" t="inlineStr">
        <is>
          <t>Business Intelligence Analyst</t>
        </is>
      </c>
      <c r="E23" s="6" t="inlineStr">
        <is>
          <t>Hanse Data Labs GmbH</t>
        </is>
      </c>
      <c r="F23" s="1" t="inlineStr">
        <is>
          <t>DE</t>
        </is>
      </c>
      <c r="G23" t="inlineStr">
        <is>
          <t>Berlin</t>
        </is>
      </c>
      <c r="H23" s="7" t="n">
        <v>46260</v>
      </c>
      <c r="I23" s="8" t="n"/>
      <c r="J23" s="9" t="n"/>
      <c r="K23" s="8" t="n">
        <v>46265</v>
      </c>
      <c r="L23" s="9" t="inlineStr">
        <is>
          <t>Hybrid</t>
        </is>
      </c>
      <c r="M23" s="8" t="n"/>
      <c r="N23" s="9" t="inlineStr">
        <is>
          <t>Karriereseite</t>
        </is>
      </c>
      <c r="O23" s="9" t="inlineStr">
        <is>
          <t>Recruiting Team</t>
        </is>
      </c>
      <c r="P23" s="10" t="inlineStr">
        <is>
          <t>https://example.com/jobs/app-030</t>
        </is>
      </c>
      <c r="Q23" s="11" t="n"/>
      <c r="R23" s="5" t="n">
        <v>30</v>
      </c>
      <c r="S23" s="3">
        <f>IF($H23="", "", WEEKNUM($H23, 2))</f>
        <v/>
      </c>
      <c r="T23" s="3">
        <f>IF($K23="", "", WEEKNUM($K23, 2))</f>
        <v/>
      </c>
      <c r="U23" s="4" t="n"/>
    </row>
    <row r="24" ht="24" customHeight="1">
      <c r="A24" s="4" t="inlineStr">
        <is>
          <t>NEIN</t>
        </is>
      </c>
      <c r="B24" s="5">
        <f>IF(AND(A24="JA", C24&lt;&gt;"Neu"),TODAY()-K24, "")</f>
        <v/>
      </c>
      <c r="C24" s="1" t="inlineStr">
        <is>
          <t>Abgelehnt</t>
        </is>
      </c>
      <c r="D24" s="6" t="inlineStr">
        <is>
          <t>Business Intelligence Analyst</t>
        </is>
      </c>
      <c r="E24" s="6" t="inlineStr">
        <is>
          <t>Willow Data Labs AG</t>
        </is>
      </c>
      <c r="F24" s="1" t="inlineStr">
        <is>
          <t>CH</t>
        </is>
      </c>
      <c r="G24" t="inlineStr">
        <is>
          <t>Zürich</t>
        </is>
      </c>
      <c r="H24" s="7" t="n">
        <v>46257</v>
      </c>
      <c r="I24" s="8" t="n"/>
      <c r="J24" s="9" t="n"/>
      <c r="K24" s="8" t="n">
        <v>46262</v>
      </c>
      <c r="L24" s="9" t="n"/>
      <c r="M24" s="8" t="n"/>
      <c r="N24" s="9" t="inlineStr">
        <is>
          <t>Karriereseite</t>
        </is>
      </c>
      <c r="O24" s="9" t="n"/>
      <c r="P24" s="10" t="inlineStr">
        <is>
          <t>https://example.com/jobs/app-026</t>
        </is>
      </c>
      <c r="Q24" s="11" t="n"/>
      <c r="R24" s="5" t="n">
        <v>26</v>
      </c>
      <c r="S24" s="3">
        <f>IF($H24="", "", WEEKNUM($H24, 2))</f>
        <v/>
      </c>
      <c r="T24" s="3">
        <f>IF($K24="", "", WEEKNUM($K24, 2))</f>
        <v/>
      </c>
      <c r="U24" s="4" t="n"/>
    </row>
    <row r="25" ht="24" customHeight="1">
      <c r="A25" s="4" t="inlineStr">
        <is>
          <t>NEIN</t>
        </is>
      </c>
      <c r="B25" s="5">
        <f>IF(AND(A25="JA", C25&lt;&gt;"Neu"),TODAY()-K25, "")</f>
        <v/>
      </c>
      <c r="C25" s="1" t="inlineStr">
        <is>
          <t>Abgelehnt</t>
        </is>
      </c>
      <c r="D25" s="6" t="inlineStr">
        <is>
          <t>Data &amp; BI Specialist</t>
        </is>
      </c>
      <c r="E25" s="6" t="inlineStr">
        <is>
          <t>Elbe Analytics GmbH</t>
        </is>
      </c>
      <c r="F25" s="1" t="inlineStr">
        <is>
          <t>DE</t>
        </is>
      </c>
      <c r="G25" t="inlineStr">
        <is>
          <t>Bonn</t>
        </is>
      </c>
      <c r="H25" s="7" t="n">
        <v>46259</v>
      </c>
      <c r="I25" s="8" t="n"/>
      <c r="J25" s="9" t="n"/>
      <c r="K25" s="8" t="n">
        <v>46262</v>
      </c>
      <c r="L25" s="9" t="inlineStr">
        <is>
          <t>Traineeprogramm</t>
        </is>
      </c>
      <c r="M25" s="8" t="n"/>
      <c r="N25" s="9" t="inlineStr">
        <is>
          <t>Indeed</t>
        </is>
      </c>
      <c r="O25" s="9" t="inlineStr">
        <is>
          <t>Recruiting Team</t>
        </is>
      </c>
      <c r="P25" s="10" t="inlineStr">
        <is>
          <t>https://example.com/jobs/app-027</t>
        </is>
      </c>
      <c r="Q25" s="11" t="n"/>
      <c r="R25" s="5" t="n">
        <v>27</v>
      </c>
      <c r="S25" s="3">
        <f>IF($H25="", "", WEEKNUM($H25, 2))</f>
        <v/>
      </c>
      <c r="T25" s="3">
        <f>IF($K25="", "", WEEKNUM($K25, 2))</f>
        <v/>
      </c>
      <c r="U25" s="4" t="n"/>
    </row>
    <row r="26" ht="24" customHeight="1">
      <c r="A26" s="4" t="inlineStr">
        <is>
          <t>NEIN</t>
        </is>
      </c>
      <c r="B26" s="5">
        <f>IF(AND(A26="JA", C26&lt;&gt;"Neu"),TODAY()-K26, "")</f>
        <v/>
      </c>
      <c r="C26" s="1" t="inlineStr">
        <is>
          <t>Keine Antwort</t>
        </is>
      </c>
      <c r="D26" s="6" t="inlineStr">
        <is>
          <t>Trainee Data Analytics</t>
        </is>
      </c>
      <c r="E26" s="6" t="inlineStr">
        <is>
          <t>Salzach Insights GmbH</t>
        </is>
      </c>
      <c r="F26" s="1" t="inlineStr">
        <is>
          <t>AT</t>
        </is>
      </c>
      <c r="G26" t="inlineStr">
        <is>
          <t>Wien</t>
        </is>
      </c>
      <c r="H26" s="7" t="n">
        <v>46261</v>
      </c>
      <c r="I26" s="8" t="n"/>
      <c r="J26" s="9" t="n"/>
      <c r="K26" s="8" t="n">
        <v>46262</v>
      </c>
      <c r="L26" s="9" t="n"/>
      <c r="M26" s="8" t="n"/>
      <c r="N26" s="9" t="inlineStr">
        <is>
          <t>Indeed</t>
        </is>
      </c>
      <c r="O26" s="9" t="inlineStr">
        <is>
          <t>Recruiting Team</t>
        </is>
      </c>
      <c r="P26" s="10" t="inlineStr">
        <is>
          <t>https://example.com/jobs/app-028</t>
        </is>
      </c>
      <c r="Q26" s="11" t="n"/>
      <c r="R26" s="5" t="n">
        <v>28</v>
      </c>
      <c r="S26" s="3">
        <f>IF($H26="", "", WEEKNUM($H26, 2))</f>
        <v/>
      </c>
      <c r="T26" s="3">
        <f>IF($K26="", "", WEEKNUM($K26, 2))</f>
        <v/>
      </c>
      <c r="U26" s="4" t="n"/>
    </row>
    <row r="27" ht="24" customHeight="1">
      <c r="A27" s="4" t="inlineStr">
        <is>
          <t>NEIN</t>
        </is>
      </c>
      <c r="B27" s="5">
        <f>IF(AND(A27="JA", C27&lt;&gt;"Neu"),TODAY()-K27, "")</f>
        <v/>
      </c>
      <c r="C27" s="1" t="inlineStr">
        <is>
          <t>Abgelehnt</t>
        </is>
      </c>
      <c r="D27" s="6" t="inlineStr">
        <is>
          <t>Junior Python Data Engineer</t>
        </is>
      </c>
      <c r="E27" s="6" t="inlineStr">
        <is>
          <t>SignalPeak AG</t>
        </is>
      </c>
      <c r="F27" s="1" t="inlineStr">
        <is>
          <t>CH</t>
        </is>
      </c>
      <c r="G27" t="inlineStr">
        <is>
          <t>Bern</t>
        </is>
      </c>
      <c r="H27" s="7" t="n">
        <v>46256</v>
      </c>
      <c r="I27" s="8" t="n"/>
      <c r="J27" s="9" t="n"/>
      <c r="K27" s="8" t="n">
        <v>46261</v>
      </c>
      <c r="L27" s="9" t="n"/>
      <c r="M27" s="8" t="n"/>
      <c r="N27" s="9" t="inlineStr">
        <is>
          <t>LinkedIn</t>
        </is>
      </c>
      <c r="O27" s="9" t="inlineStr">
        <is>
          <t>Recruiting Team</t>
        </is>
      </c>
      <c r="P27" s="10" t="inlineStr">
        <is>
          <t>https://example.com/jobs/app-024</t>
        </is>
      </c>
      <c r="Q27" s="11" t="n"/>
      <c r="R27" s="5" t="n">
        <v>24</v>
      </c>
      <c r="S27" s="3">
        <f>IF($H27="", "", WEEKNUM($H27, 2))</f>
        <v/>
      </c>
      <c r="T27" s="3">
        <f>IF($K27="", "", WEEKNUM($K27, 2))</f>
        <v/>
      </c>
      <c r="U27" s="4" t="n"/>
    </row>
    <row r="28" ht="24" customHeight="1">
      <c r="A28" s="4" t="inlineStr">
        <is>
          <t>NEIN</t>
        </is>
      </c>
      <c r="B28" s="5">
        <f>IF(AND(A28="JA", C28&lt;&gt;"Neu"),TODAY()-K28, "")</f>
        <v/>
      </c>
      <c r="C28" s="1" t="inlineStr">
        <is>
          <t>Keine Antwort</t>
        </is>
      </c>
      <c r="D28" s="6" t="inlineStr">
        <is>
          <t>BI Analyst</t>
        </is>
      </c>
      <c r="E28" s="6" t="inlineStr">
        <is>
          <t>Vector Insights AG</t>
        </is>
      </c>
      <c r="F28" s="1" t="inlineStr">
        <is>
          <t>CH</t>
        </is>
      </c>
      <c r="G28" t="inlineStr">
        <is>
          <t>Zürich</t>
        </is>
      </c>
      <c r="H28" s="7" t="n">
        <v>46261</v>
      </c>
      <c r="I28" s="8" t="n"/>
      <c r="J28" s="9" t="n"/>
      <c r="K28" s="8" t="n">
        <v>46261</v>
      </c>
      <c r="L28" s="9" t="n"/>
      <c r="M28" s="8" t="n"/>
      <c r="N28" s="9" t="inlineStr">
        <is>
          <t>Hochschulportal</t>
        </is>
      </c>
      <c r="O28" s="9" t="inlineStr">
        <is>
          <t>Recruiting Team</t>
        </is>
      </c>
      <c r="P28" s="10" t="inlineStr">
        <is>
          <t>https://example.com/jobs/app-025</t>
        </is>
      </c>
      <c r="Q28" s="11" t="n"/>
      <c r="R28" s="5" t="n">
        <v>25</v>
      </c>
      <c r="S28" s="3">
        <f>IF($H28="", "", WEEKNUM($H28, 2))</f>
        <v/>
      </c>
      <c r="T28" s="3">
        <f>IF($K28="", "", WEEKNUM($K28, 2))</f>
        <v/>
      </c>
      <c r="U28" s="4" t="n"/>
    </row>
    <row r="29" ht="24" customHeight="1">
      <c r="A29" s="4" t="inlineStr">
        <is>
          <t>NEIN</t>
        </is>
      </c>
      <c r="B29" s="5">
        <f>IF(AND(A29="JA", C29&lt;&gt;"Neu"),TODAY()-K29, "")</f>
        <v/>
      </c>
      <c r="C29" s="1" t="inlineStr">
        <is>
          <t>Abgelehnt</t>
        </is>
      </c>
      <c r="D29" s="6" t="inlineStr">
        <is>
          <t>Junior Data Scientist</t>
        </is>
      </c>
      <c r="E29" s="6" t="inlineStr">
        <is>
          <t>Main Metrics GmbH</t>
        </is>
      </c>
      <c r="F29" s="1" t="inlineStr">
        <is>
          <t>DE</t>
        </is>
      </c>
      <c r="G29" t="inlineStr">
        <is>
          <t>Bonn</t>
        </is>
      </c>
      <c r="H29" s="7" t="n">
        <v>46259</v>
      </c>
      <c r="I29" s="8" t="n"/>
      <c r="J29" s="9" t="n"/>
      <c r="K29" s="8" t="n">
        <v>46260</v>
      </c>
      <c r="L29" s="9" t="inlineStr">
        <is>
          <t>Junior-Level</t>
        </is>
      </c>
      <c r="M29" s="8" t="n"/>
      <c r="N29" s="9" t="inlineStr">
        <is>
          <t>StepStone</t>
        </is>
      </c>
      <c r="O29" s="9" t="n"/>
      <c r="P29" s="10" t="inlineStr">
        <is>
          <t>https://example.com/jobs/app-023</t>
        </is>
      </c>
      <c r="Q29" s="11" t="n"/>
      <c r="R29" s="5" t="n">
        <v>23</v>
      </c>
      <c r="S29" s="3">
        <f>IF($H29="", "", WEEKNUM($H29, 2))</f>
        <v/>
      </c>
      <c r="T29" s="3">
        <f>IF($K29="", "", WEEKNUM($K29, 2))</f>
        <v/>
      </c>
      <c r="U29" s="4" t="n"/>
    </row>
    <row r="30" ht="24" customHeight="1">
      <c r="A30" s="4" t="inlineStr">
        <is>
          <t>NEIN</t>
        </is>
      </c>
      <c r="B30" s="5">
        <f>IF(AND(A30="JA", C30&lt;&gt;"Neu"),TODAY()-K30, "")</f>
        <v/>
      </c>
      <c r="C30" s="1" t="inlineStr">
        <is>
          <t>Keine Antwort</t>
        </is>
      </c>
      <c r="D30" s="6" t="inlineStr">
        <is>
          <t>Data Quality Analyst</t>
        </is>
      </c>
      <c r="E30" s="6" t="inlineStr">
        <is>
          <t>Spree Data Systems GmbH</t>
        </is>
      </c>
      <c r="F30" s="1" t="inlineStr">
        <is>
          <t>DE</t>
        </is>
      </c>
      <c r="G30" t="inlineStr">
        <is>
          <t>München</t>
        </is>
      </c>
      <c r="H30" s="7" t="n">
        <v>46252</v>
      </c>
      <c r="I30" s="8" t="n"/>
      <c r="J30" s="9" t="n"/>
      <c r="K30" s="8" t="n">
        <v>46255</v>
      </c>
      <c r="L30" s="9" t="inlineStr">
        <is>
          <t>Traineeprogramm</t>
        </is>
      </c>
      <c r="M30" s="8" t="n"/>
      <c r="N30" s="9" t="inlineStr">
        <is>
          <t>LinkedIn</t>
        </is>
      </c>
      <c r="O30" s="9" t="n"/>
      <c r="P30" s="10" t="inlineStr">
        <is>
          <t>https://example.com/jobs/app-021</t>
        </is>
      </c>
      <c r="Q30" s="11" t="n"/>
      <c r="R30" s="5" t="n">
        <v>21</v>
      </c>
      <c r="S30" s="3">
        <f>IF($H30="", "", WEEKNUM($H30, 2))</f>
        <v/>
      </c>
      <c r="T30" s="3">
        <f>IF($K30="", "", WEEKNUM($K30, 2))</f>
        <v/>
      </c>
      <c r="U30" s="4" t="n"/>
    </row>
    <row r="31" ht="24" customHeight="1">
      <c r="A31" s="4" t="inlineStr">
        <is>
          <t>NEIN</t>
        </is>
      </c>
      <c r="B31" s="5">
        <f>IF(AND(A31="JA", C31&lt;&gt;"Neu"),TODAY()-K31, "")</f>
        <v/>
      </c>
      <c r="C31" s="1" t="inlineStr">
        <is>
          <t>Kein Interesse mehr</t>
        </is>
      </c>
      <c r="D31" s="6" t="inlineStr">
        <is>
          <t>Data Quality Analyst</t>
        </is>
      </c>
      <c r="E31" s="6" t="inlineStr">
        <is>
          <t>Riviera Data AG</t>
        </is>
      </c>
      <c r="F31" s="1" t="inlineStr">
        <is>
          <t>CH</t>
        </is>
      </c>
      <c r="G31" t="inlineStr">
        <is>
          <t>Aarau</t>
        </is>
      </c>
      <c r="H31" s="7" t="n">
        <v>46254</v>
      </c>
      <c r="I31" s="8" t="n"/>
      <c r="J31" s="9" t="n"/>
      <c r="K31" s="8" t="n">
        <v>46255</v>
      </c>
      <c r="L31" s="9" t="inlineStr">
        <is>
          <t>Traineeprogramm</t>
        </is>
      </c>
      <c r="M31" s="8" t="n"/>
      <c r="N31" s="9" t="inlineStr">
        <is>
          <t>Hochschulportal</t>
        </is>
      </c>
      <c r="O31" s="9" t="n"/>
      <c r="P31" s="10" t="inlineStr">
        <is>
          <t>https://example.com/jobs/app-022</t>
        </is>
      </c>
      <c r="Q31" s="11" t="n"/>
      <c r="R31" s="5" t="n">
        <v>22</v>
      </c>
      <c r="S31" s="3">
        <f>IF($H31="", "", WEEKNUM($H31, 2))</f>
        <v/>
      </c>
      <c r="T31" s="3">
        <f>IF($K31="", "", WEEKNUM($K31, 2))</f>
        <v/>
      </c>
      <c r="U31" s="4" t="n"/>
    </row>
    <row r="32" ht="24" customHeight="1">
      <c r="A32" s="4" t="inlineStr">
        <is>
          <t>NEIN</t>
        </is>
      </c>
      <c r="B32" s="5">
        <f>IF(AND(A32="JA", C32&lt;&gt;"Neu"),TODAY()-K32, "")</f>
        <v/>
      </c>
      <c r="C32" s="1" t="inlineStr">
        <is>
          <t>Abgelehnt</t>
        </is>
      </c>
      <c r="D32" s="6" t="inlineStr">
        <is>
          <t>Analytics Engineer</t>
        </is>
      </c>
      <c r="E32" s="6" t="inlineStr">
        <is>
          <t>Isar Digital GmbH</t>
        </is>
      </c>
      <c r="F32" s="1" t="inlineStr">
        <is>
          <t>DE</t>
        </is>
      </c>
      <c r="G32" t="inlineStr">
        <is>
          <t>Berlin</t>
        </is>
      </c>
      <c r="H32" s="7" t="n">
        <v>46248</v>
      </c>
      <c r="I32" s="8" t="n"/>
      <c r="J32" s="9" t="n"/>
      <c r="K32" s="8" t="n">
        <v>46252</v>
      </c>
      <c r="L32" s="9" t="n"/>
      <c r="M32" s="8" t="n"/>
      <c r="N32" s="9" t="inlineStr">
        <is>
          <t>Indeed</t>
        </is>
      </c>
      <c r="O32" s="9" t="n"/>
      <c r="P32" s="10" t="inlineStr">
        <is>
          <t>https://example.com/jobs/app-020</t>
        </is>
      </c>
      <c r="Q32" s="11" t="n"/>
      <c r="R32" s="5" t="n">
        <v>20</v>
      </c>
      <c r="S32" s="3">
        <f>IF($H32="", "", WEEKNUM($H32, 2))</f>
        <v/>
      </c>
      <c r="T32" s="3">
        <f>IF($K32="", "", WEEKNUM($K32, 2))</f>
        <v/>
      </c>
      <c r="U32" s="4" t="n"/>
    </row>
    <row r="33" ht="24" customHeight="1">
      <c r="A33" s="4" t="inlineStr">
        <is>
          <t>NEIN</t>
        </is>
      </c>
      <c r="B33" s="5">
        <f>IF(AND(A33="JA", C33&lt;&gt;"Neu"),TODAY()-K33, "")</f>
        <v/>
      </c>
      <c r="C33" s="1" t="inlineStr">
        <is>
          <t>Nicht mehr verfügbar</t>
        </is>
      </c>
      <c r="D33" s="6" t="inlineStr">
        <is>
          <t>Junior Python Data Engineer</t>
        </is>
      </c>
      <c r="E33" s="6" t="inlineStr">
        <is>
          <t>Vienna Data Works GmbH</t>
        </is>
      </c>
      <c r="F33" s="1" t="inlineStr">
        <is>
          <t>AT</t>
        </is>
      </c>
      <c r="G33" t="inlineStr">
        <is>
          <t>Salzburg</t>
        </is>
      </c>
      <c r="H33" s="7" t="n">
        <v>46249</v>
      </c>
      <c r="I33" s="8" t="n"/>
      <c r="J33" s="9" t="n"/>
      <c r="K33" s="8" t="n">
        <v>46251</v>
      </c>
      <c r="L33" s="9" t="n"/>
      <c r="M33" s="8" t="n"/>
      <c r="N33" s="9" t="inlineStr">
        <is>
          <t>Indeed</t>
        </is>
      </c>
      <c r="O33" s="9" t="inlineStr">
        <is>
          <t>Recruiting Team</t>
        </is>
      </c>
      <c r="P33" s="10" t="inlineStr">
        <is>
          <t>https://example.com/jobs/app-019</t>
        </is>
      </c>
      <c r="Q33" s="11" t="n"/>
      <c r="R33" s="5" t="n">
        <v>19</v>
      </c>
      <c r="S33" s="3">
        <f>IF($H33="", "", WEEKNUM($H33, 2))</f>
        <v/>
      </c>
      <c r="T33" s="3">
        <f>IF($K33="", "", WEEKNUM($K33, 2))</f>
        <v/>
      </c>
      <c r="U33" s="4" t="n"/>
    </row>
    <row r="34" ht="24" customHeight="1">
      <c r="A34" s="4" t="inlineStr">
        <is>
          <t>NEIN</t>
        </is>
      </c>
      <c r="B34" s="5">
        <f>IF(AND(A34="JA", C34&lt;&gt;"Neu"),TODAY()-K34, "")</f>
        <v/>
      </c>
      <c r="C34" s="1" t="inlineStr">
        <is>
          <t>Abgelehnt</t>
        </is>
      </c>
      <c r="D34" s="6" t="inlineStr">
        <is>
          <t>Data Quality Analyst</t>
        </is>
      </c>
      <c r="E34" s="6" t="inlineStr">
        <is>
          <t>Quartz Digital AG</t>
        </is>
      </c>
      <c r="F34" s="1" t="inlineStr">
        <is>
          <t>CH</t>
        </is>
      </c>
      <c r="G34" t="inlineStr">
        <is>
          <t>Zug</t>
        </is>
      </c>
      <c r="H34" s="7" t="n">
        <v>46245</v>
      </c>
      <c r="I34" s="8" t="n"/>
      <c r="J34" s="9" t="n"/>
      <c r="K34" s="8" t="n">
        <v>46248</v>
      </c>
      <c r="L34" s="9" t="n"/>
      <c r="M34" s="8" t="n">
        <v>46252</v>
      </c>
      <c r="N34" s="9" t="inlineStr">
        <is>
          <t>LinkedIn</t>
        </is>
      </c>
      <c r="O34" s="9" t="n"/>
      <c r="P34" s="10" t="inlineStr">
        <is>
          <t>https://example.com/jobs/app-018</t>
        </is>
      </c>
      <c r="Q34" s="11" t="n"/>
      <c r="R34" s="5" t="n">
        <v>18</v>
      </c>
      <c r="S34" s="3">
        <f>IF($H34="", "", WEEKNUM($H34, 2))</f>
        <v/>
      </c>
      <c r="T34" s="3">
        <f>IF($K34="", "", WEEKNUM($K34, 2))</f>
        <v/>
      </c>
      <c r="U34" s="4" t="n"/>
    </row>
    <row r="35" ht="24" customHeight="1">
      <c r="A35" s="4" t="inlineStr">
        <is>
          <t>NEIN</t>
        </is>
      </c>
      <c r="B35" s="5">
        <f>IF(AND(A35="JA", C35&lt;&gt;"Neu"),TODAY()-K35, "")</f>
        <v/>
      </c>
      <c r="C35" s="1" t="inlineStr">
        <is>
          <t>Nicht mehr verfügbar</t>
        </is>
      </c>
      <c r="D35" s="6" t="inlineStr">
        <is>
          <t>Graduate Data Engineer</t>
        </is>
      </c>
      <c r="E35" s="6" t="inlineStr">
        <is>
          <t>Pinecone Analytics AG</t>
        </is>
      </c>
      <c r="F35" s="1" t="inlineStr">
        <is>
          <t>CH</t>
        </is>
      </c>
      <c r="G35" t="inlineStr">
        <is>
          <t>Aarau</t>
        </is>
      </c>
      <c r="H35" s="7" t="n">
        <v>46244</v>
      </c>
      <c r="I35" s="8" t="n"/>
      <c r="J35" s="9" t="n"/>
      <c r="K35" s="8" t="n">
        <v>46247</v>
      </c>
      <c r="L35" s="9" t="inlineStr">
        <is>
          <t>Remote möglich</t>
        </is>
      </c>
      <c r="M35" s="8" t="n"/>
      <c r="N35" s="9" t="inlineStr">
        <is>
          <t>Empfehlung</t>
        </is>
      </c>
      <c r="O35" s="9" t="n"/>
      <c r="P35" s="10" t="inlineStr">
        <is>
          <t>https://example.com/jobs/app-017</t>
        </is>
      </c>
      <c r="Q35" s="11" t="n"/>
      <c r="R35" s="5" t="n">
        <v>17</v>
      </c>
      <c r="S35" s="3">
        <f>IF($H35="", "", WEEKNUM($H35, 2))</f>
        <v/>
      </c>
      <c r="T35" s="3">
        <f>IF($K35="", "", WEEKNUM($K35, 2))</f>
        <v/>
      </c>
      <c r="U35" s="4" t="n"/>
    </row>
    <row r="36" ht="24" customHeight="1">
      <c r="A36" s="4" t="inlineStr">
        <is>
          <t>NEIN</t>
        </is>
      </c>
      <c r="B36" s="5">
        <f>IF(AND(A36="JA", C36&lt;&gt;"Neu"),TODAY()-K36, "")</f>
        <v/>
      </c>
      <c r="C36" s="1" t="inlineStr">
        <is>
          <t>Abgelehnt nach Interview</t>
        </is>
      </c>
      <c r="D36" s="6" t="inlineStr">
        <is>
          <t>Analytics Engineer</t>
        </is>
      </c>
      <c r="E36" s="6" t="inlineStr">
        <is>
          <t>AlpenTech Data GmbH</t>
        </is>
      </c>
      <c r="F36" s="1" t="inlineStr">
        <is>
          <t>AT</t>
        </is>
      </c>
      <c r="G36" t="inlineStr">
        <is>
          <t>Linz</t>
        </is>
      </c>
      <c r="H36" s="7" t="n">
        <v>46245</v>
      </c>
      <c r="I36" s="8" t="n"/>
      <c r="J36" s="9" t="n"/>
      <c r="K36" s="8" t="n">
        <v>46246</v>
      </c>
      <c r="L36" s="9" t="inlineStr">
        <is>
          <t>Junior-Level</t>
        </is>
      </c>
      <c r="M36" s="8" t="n"/>
      <c r="N36" s="9" t="inlineStr">
        <is>
          <t>StepStone</t>
        </is>
      </c>
      <c r="O36" s="9" t="n"/>
      <c r="P36" s="10" t="inlineStr">
        <is>
          <t>https://example.com/jobs/app-015</t>
        </is>
      </c>
      <c r="Q36" s="11" t="n"/>
      <c r="R36" s="5" t="n">
        <v>15</v>
      </c>
      <c r="S36" s="3">
        <f>IF($H36="", "", WEEKNUM($H36, 2))</f>
        <v/>
      </c>
      <c r="T36" s="3">
        <f>IF($K36="", "", WEEKNUM($K36, 2))</f>
        <v/>
      </c>
      <c r="U36" s="4" t="n"/>
    </row>
    <row r="37" ht="24" customHeight="1">
      <c r="A37" s="4" t="inlineStr">
        <is>
          <t>NEIN</t>
        </is>
      </c>
      <c r="B37" s="5">
        <f>IF(AND(A37="JA", C37&lt;&gt;"Neu"),TODAY()-K37, "")</f>
        <v/>
      </c>
      <c r="C37" s="1" t="inlineStr">
        <is>
          <t>Abgelehnt</t>
        </is>
      </c>
      <c r="D37" s="6" t="inlineStr">
        <is>
          <t>Junior Data Analyst</t>
        </is>
      </c>
      <c r="E37" s="6" t="inlineStr">
        <is>
          <t>Orbit Data Services AG</t>
        </is>
      </c>
      <c r="F37" s="1" t="inlineStr">
        <is>
          <t>CH</t>
        </is>
      </c>
      <c r="G37" t="inlineStr">
        <is>
          <t>Basel</t>
        </is>
      </c>
      <c r="H37" s="7" t="n">
        <v>46241</v>
      </c>
      <c r="I37" s="8" t="n"/>
      <c r="J37" s="9" t="n"/>
      <c r="K37" s="8" t="n">
        <v>46246</v>
      </c>
      <c r="L37" s="9" t="inlineStr">
        <is>
          <t>Junior-Level</t>
        </is>
      </c>
      <c r="M37" s="8" t="n"/>
      <c r="N37" s="9" t="inlineStr">
        <is>
          <t>StepStone</t>
        </is>
      </c>
      <c r="O37" s="9" t="n"/>
      <c r="P37" s="10" t="inlineStr">
        <is>
          <t>https://example.com/jobs/app-016</t>
        </is>
      </c>
      <c r="Q37" s="11" t="n"/>
      <c r="R37" s="5" t="n">
        <v>16</v>
      </c>
      <c r="S37" s="3">
        <f>IF($H37="", "", WEEKNUM($H37, 2))</f>
        <v/>
      </c>
      <c r="T37" s="3">
        <f>IF($K37="", "", WEEKNUM($K37, 2))</f>
        <v/>
      </c>
      <c r="U37" s="4" t="n"/>
    </row>
    <row r="38" ht="24" customHeight="1">
      <c r="A38" s="4" t="inlineStr">
        <is>
          <t>NEIN</t>
        </is>
      </c>
      <c r="B38" s="5">
        <f>IF(AND(A38="JA", C38&lt;&gt;"Neu"),TODAY()-K38, "")</f>
        <v/>
      </c>
      <c r="C38" s="1" t="inlineStr">
        <is>
          <t>Abgelehnt</t>
        </is>
      </c>
      <c r="D38" s="6" t="inlineStr">
        <is>
          <t>Data &amp; BI Specialist</t>
        </is>
      </c>
      <c r="E38" s="6" t="inlineStr">
        <is>
          <t>Donau Analytics GmbH</t>
        </is>
      </c>
      <c r="F38" s="1" t="inlineStr">
        <is>
          <t>AT</t>
        </is>
      </c>
      <c r="G38" t="inlineStr">
        <is>
          <t>Salzburg</t>
        </is>
      </c>
      <c r="H38" s="7" t="n">
        <v>46240</v>
      </c>
      <c r="I38" s="8" t="n"/>
      <c r="J38" s="9" t="n"/>
      <c r="K38" s="8" t="n">
        <v>46245</v>
      </c>
      <c r="L38" s="9" t="inlineStr">
        <is>
          <t>Remote möglich</t>
        </is>
      </c>
      <c r="M38" s="8" t="n"/>
      <c r="N38" s="9" t="inlineStr">
        <is>
          <t>LinkedIn</t>
        </is>
      </c>
      <c r="O38" s="9" t="n"/>
      <c r="P38" s="10" t="inlineStr">
        <is>
          <t>https://example.com/jobs/app-014</t>
        </is>
      </c>
      <c r="Q38" s="11" t="n"/>
      <c r="R38" s="5" t="n">
        <v>14</v>
      </c>
      <c r="S38" s="3">
        <f>IF($H38="", "", WEEKNUM($H38, 2))</f>
        <v/>
      </c>
      <c r="T38" s="3">
        <f>IF($K38="", "", WEEKNUM($K38, 2))</f>
        <v/>
      </c>
      <c r="U38" s="4" t="n"/>
    </row>
    <row r="39" ht="24" customHeight="1">
      <c r="A39" s="4" t="inlineStr">
        <is>
          <t>NEIN</t>
        </is>
      </c>
      <c r="B39" s="5">
        <f>IF(AND(A39="JA", C39&lt;&gt;"Neu"),TODAY()-K39, "")</f>
        <v/>
      </c>
      <c r="C39" s="1" t="inlineStr">
        <is>
          <t>Abgelehnt</t>
        </is>
      </c>
      <c r="D39" s="6" t="inlineStr">
        <is>
          <t>Data &amp; BI Specialist</t>
        </is>
      </c>
      <c r="E39" s="6" t="inlineStr">
        <is>
          <t>Cedar Analytics AG</t>
        </is>
      </c>
      <c r="F39" s="1" t="inlineStr">
        <is>
          <t>CH</t>
        </is>
      </c>
      <c r="G39" t="inlineStr">
        <is>
          <t>Bern</t>
        </is>
      </c>
      <c r="H39" s="7" t="n">
        <v>46240</v>
      </c>
      <c r="I39" s="8" t="n"/>
      <c r="J39" s="9" t="n"/>
      <c r="K39" s="8" t="n">
        <v>46244</v>
      </c>
      <c r="L39" s="9" t="n"/>
      <c r="M39" s="8" t="n"/>
      <c r="N39" s="9" t="inlineStr">
        <is>
          <t>Karriereseite</t>
        </is>
      </c>
      <c r="O39" s="9" t="inlineStr">
        <is>
          <t>Recruiting Team</t>
        </is>
      </c>
      <c r="P39" s="10" t="inlineStr">
        <is>
          <t>https://example.com/jobs/app-012</t>
        </is>
      </c>
      <c r="Q39" s="11" t="n"/>
      <c r="R39" s="5" t="n">
        <v>12</v>
      </c>
      <c r="S39" s="3">
        <f>IF($H39="", "", WEEKNUM($H39, 2))</f>
        <v/>
      </c>
      <c r="T39" s="3">
        <f>IF($K39="", "", WEEKNUM($K39, 2))</f>
        <v/>
      </c>
      <c r="U39" s="4" t="n"/>
    </row>
    <row r="40" ht="24" customHeight="1">
      <c r="A40" s="4" t="inlineStr">
        <is>
          <t>NEIN</t>
        </is>
      </c>
      <c r="B40" s="5">
        <f>IF(AND(A40="JA", C40&lt;&gt;"Neu"),TODAY()-K40, "")</f>
        <v/>
      </c>
      <c r="C40" s="1" t="inlineStr">
        <is>
          <t>Kein Interesse mehr</t>
        </is>
      </c>
      <c r="D40" s="6" t="inlineStr">
        <is>
          <t>Junior Data Analyst</t>
        </is>
      </c>
      <c r="E40" s="6" t="inlineStr">
        <is>
          <t>Nova Helvetia AG</t>
        </is>
      </c>
      <c r="F40" s="1" t="inlineStr">
        <is>
          <t>CH</t>
        </is>
      </c>
      <c r="G40" t="inlineStr">
        <is>
          <t>Bern</t>
        </is>
      </c>
      <c r="H40" s="7" t="n">
        <v>46239</v>
      </c>
      <c r="I40" s="8" t="n"/>
      <c r="J40" s="9" t="n"/>
      <c r="K40" s="8" t="n">
        <v>46244</v>
      </c>
      <c r="L40" s="9" t="inlineStr">
        <is>
          <t>Traineeprogramm</t>
        </is>
      </c>
      <c r="M40" s="8" t="n"/>
      <c r="N40" s="9" t="inlineStr">
        <is>
          <t>StepStone</t>
        </is>
      </c>
      <c r="O40" s="9" t="n"/>
      <c r="P40" s="10" t="inlineStr">
        <is>
          <t>https://example.com/jobs/app-013</t>
        </is>
      </c>
      <c r="Q40" s="11" t="n"/>
      <c r="R40" s="5" t="n">
        <v>13</v>
      </c>
      <c r="S40" s="3">
        <f>IF($H40="", "", WEEKNUM($H40, 2))</f>
        <v/>
      </c>
      <c r="T40" s="3">
        <f>IF($K40="", "", WEEKNUM($K40, 2))</f>
        <v/>
      </c>
      <c r="U40" s="4" t="n"/>
    </row>
    <row r="41" ht="24" customHeight="1">
      <c r="A41" s="4" t="inlineStr">
        <is>
          <t>NEIN</t>
        </is>
      </c>
      <c r="B41" s="5">
        <f>IF(AND(A41="JA", C41&lt;&gt;"Neu"),TODAY()-K41, "")</f>
        <v/>
      </c>
      <c r="C41" s="1" t="inlineStr">
        <is>
          <t>Abgelehnt</t>
        </is>
      </c>
      <c r="D41" s="6" t="inlineStr">
        <is>
          <t>Data Scientist</t>
        </is>
      </c>
      <c r="E41" s="6" t="inlineStr">
        <is>
          <t>Nordlicht Analytics GmbH</t>
        </is>
      </c>
      <c r="F41" s="1" t="inlineStr">
        <is>
          <t>DE</t>
        </is>
      </c>
      <c r="G41" t="inlineStr">
        <is>
          <t>Stuttgart</t>
        </is>
      </c>
      <c r="H41" s="7" t="n">
        <v>46238</v>
      </c>
      <c r="I41" s="8" t="n"/>
      <c r="J41" s="9" t="n"/>
      <c r="K41" s="8" t="n">
        <v>46240</v>
      </c>
      <c r="L41" s="9" t="inlineStr">
        <is>
          <t>Remote möglich</t>
        </is>
      </c>
      <c r="M41" s="8" t="n"/>
      <c r="N41" s="9" t="inlineStr">
        <is>
          <t>Empfehlung</t>
        </is>
      </c>
      <c r="O41" s="9" t="n"/>
      <c r="P41" s="10" t="inlineStr">
        <is>
          <t>https://example.com/jobs/app-011</t>
        </is>
      </c>
      <c r="Q41" s="11" t="n"/>
      <c r="R41" s="5" t="n">
        <v>11</v>
      </c>
      <c r="S41" s="3">
        <f>IF($H41="", "", WEEKNUM($H41, 2))</f>
        <v/>
      </c>
      <c r="T41" s="3">
        <f>IF($K41="", "", WEEKNUM($K41, 2))</f>
        <v/>
      </c>
      <c r="U41" s="4" t="n"/>
    </row>
    <row r="42" ht="24" customHeight="1">
      <c r="A42" s="4" t="inlineStr">
        <is>
          <t>NEIN</t>
        </is>
      </c>
      <c r="B42" s="5">
        <f>IF(AND(A42="JA", C42&lt;&gt;"Neu"),TODAY()-K42, "")</f>
        <v/>
      </c>
      <c r="C42" s="1" t="inlineStr">
        <is>
          <t>Abgelehnt nach Interview</t>
        </is>
      </c>
      <c r="D42" s="6" t="inlineStr">
        <is>
          <t>Junior Python Data Engineer</t>
        </is>
      </c>
      <c r="E42" s="6" t="inlineStr">
        <is>
          <t>Matterhorn Analytics AG</t>
        </is>
      </c>
      <c r="F42" s="1" t="inlineStr">
        <is>
          <t>CH</t>
        </is>
      </c>
      <c r="G42" t="inlineStr">
        <is>
          <t>Bern</t>
        </is>
      </c>
      <c r="H42" s="7" t="n">
        <v>46235</v>
      </c>
      <c r="I42" s="8" t="n"/>
      <c r="J42" s="9" t="n"/>
      <c r="K42" s="8" t="n">
        <v>46239</v>
      </c>
      <c r="L42" s="9" t="n"/>
      <c r="M42" s="8" t="n"/>
      <c r="N42" s="9" t="inlineStr">
        <is>
          <t>Indeed</t>
        </is>
      </c>
      <c r="O42" s="9" t="n"/>
      <c r="P42" s="10" t="inlineStr">
        <is>
          <t>https://example.com/jobs/app-008</t>
        </is>
      </c>
      <c r="Q42" s="11" t="n"/>
      <c r="R42" s="5" t="n">
        <v>8</v>
      </c>
      <c r="S42" s="3">
        <f>IF($H42="", "", WEEKNUM($H42, 2))</f>
        <v/>
      </c>
      <c r="T42" s="3">
        <f>IF($K42="", "", WEEKNUM($K42, 2))</f>
        <v/>
      </c>
      <c r="U42" s="4" t="n"/>
    </row>
    <row r="43" ht="24" customHeight="1">
      <c r="A43" s="4" t="inlineStr">
        <is>
          <t>NEIN</t>
        </is>
      </c>
      <c r="B43" s="5">
        <f>IF(AND(A43="JA", C43&lt;&gt;"Neu"),TODAY()-K43, "")</f>
        <v/>
      </c>
      <c r="C43" s="1" t="inlineStr">
        <is>
          <t>Abgelehnt</t>
        </is>
      </c>
      <c r="D43" s="6" t="inlineStr">
        <is>
          <t>Trainee Data Analytics</t>
        </is>
      </c>
      <c r="E43" s="6" t="inlineStr">
        <is>
          <t>Aare Data Systems AG</t>
        </is>
      </c>
      <c r="F43" s="1" t="inlineStr">
        <is>
          <t>CH</t>
        </is>
      </c>
      <c r="G43" t="inlineStr">
        <is>
          <t>Bern</t>
        </is>
      </c>
      <c r="H43" s="7" t="n">
        <v>46235</v>
      </c>
      <c r="I43" s="8" t="n"/>
      <c r="J43" s="9" t="n"/>
      <c r="K43" s="8" t="n">
        <v>46239</v>
      </c>
      <c r="L43" s="9" t="inlineStr">
        <is>
          <t>Remote möglich</t>
        </is>
      </c>
      <c r="M43" s="8" t="n"/>
      <c r="N43" s="9" t="inlineStr">
        <is>
          <t>StepStone</t>
        </is>
      </c>
      <c r="O43" s="9" t="n"/>
      <c r="P43" s="10" t="inlineStr">
        <is>
          <t>https://example.com/jobs/app-009</t>
        </is>
      </c>
      <c r="Q43" s="11" t="n"/>
      <c r="R43" s="5" t="n">
        <v>9</v>
      </c>
      <c r="S43" s="3">
        <f>IF($H43="", "", WEEKNUM($H43, 2))</f>
        <v/>
      </c>
      <c r="T43" s="3">
        <f>IF($K43="", "", WEEKNUM($K43, 2))</f>
        <v/>
      </c>
      <c r="U43" s="4" t="n"/>
    </row>
    <row r="44" ht="24" customHeight="1">
      <c r="A44" s="4" t="inlineStr">
        <is>
          <t>NEIN</t>
        </is>
      </c>
      <c r="B44" s="5">
        <f>IF(AND(A44="JA", C44&lt;&gt;"Neu"),TODAY()-K44, "")</f>
        <v/>
      </c>
      <c r="C44" s="1" t="inlineStr">
        <is>
          <t>Abgelehnt</t>
        </is>
      </c>
      <c r="D44" s="6" t="inlineStr">
        <is>
          <t>Machine Learning Engineer</t>
        </is>
      </c>
      <c r="E44" s="6" t="inlineStr">
        <is>
          <t>BluePeak Insights AG</t>
        </is>
      </c>
      <c r="F44" s="1" t="inlineStr">
        <is>
          <t>CH</t>
        </is>
      </c>
      <c r="G44" t="inlineStr">
        <is>
          <t>Bern</t>
        </is>
      </c>
      <c r="H44" s="7" t="n">
        <v>46234</v>
      </c>
      <c r="I44" s="8" t="n"/>
      <c r="J44" s="9" t="n"/>
      <c r="K44" s="8" t="n">
        <v>46239</v>
      </c>
      <c r="L44" s="9" t="inlineStr">
        <is>
          <t>Traineeprogramm</t>
        </is>
      </c>
      <c r="M44" s="8" t="n"/>
      <c r="N44" s="9" t="inlineStr">
        <is>
          <t>Hochschulportal</t>
        </is>
      </c>
      <c r="O44" s="9" t="n"/>
      <c r="P44" s="10" t="inlineStr">
        <is>
          <t>https://example.com/jobs/app-010</t>
        </is>
      </c>
      <c r="Q44" s="11" t="n"/>
      <c r="R44" s="5" t="n">
        <v>10</v>
      </c>
      <c r="S44" s="3">
        <f>IF($H44="", "", WEEKNUM($H44, 2))</f>
        <v/>
      </c>
      <c r="T44" s="3">
        <f>IF($K44="", "", WEEKNUM($K44, 2))</f>
        <v/>
      </c>
      <c r="U44" s="4" t="n"/>
    </row>
    <row r="45" ht="24" customHeight="1">
      <c r="A45" s="4" t="inlineStr">
        <is>
          <t>NEIN</t>
        </is>
      </c>
      <c r="B45" s="5">
        <f>IF(AND(A45="JA", C45&lt;&gt;"Neu"),TODAY()-K45, "")</f>
        <v/>
      </c>
      <c r="C45" s="1" t="inlineStr">
        <is>
          <t>Abgelehnt</t>
        </is>
      </c>
      <c r="D45" s="6" t="inlineStr">
        <is>
          <t>Junior Python Data Engineer</t>
        </is>
      </c>
      <c r="E45" s="6" t="inlineStr">
        <is>
          <t>Summit Data Works AG</t>
        </is>
      </c>
      <c r="F45" s="1" t="inlineStr">
        <is>
          <t>CH</t>
        </is>
      </c>
      <c r="G45" t="inlineStr">
        <is>
          <t>Luzern</t>
        </is>
      </c>
      <c r="H45" s="7" t="n">
        <v>46237</v>
      </c>
      <c r="I45" s="8" t="n"/>
      <c r="J45" s="9" t="n"/>
      <c r="K45" s="8" t="n">
        <v>46238</v>
      </c>
      <c r="L45" s="9" t="inlineStr">
        <is>
          <t>Hybrid</t>
        </is>
      </c>
      <c r="M45" s="8" t="n"/>
      <c r="N45" s="9" t="inlineStr">
        <is>
          <t>StepStone</t>
        </is>
      </c>
      <c r="O45" s="9" t="n"/>
      <c r="P45" s="10" t="inlineStr">
        <is>
          <t>https://example.com/jobs/app-006</t>
        </is>
      </c>
      <c r="Q45" s="11" t="n"/>
      <c r="R45" s="5" t="n">
        <v>6</v>
      </c>
      <c r="S45" s="3">
        <f>IF($H45="", "", WEEKNUM($H45, 2))</f>
        <v/>
      </c>
      <c r="T45" s="3">
        <f>IF($K45="", "", WEEKNUM($K45, 2))</f>
        <v/>
      </c>
      <c r="U45" s="4" t="n"/>
    </row>
    <row r="46" ht="24" customHeight="1">
      <c r="A46" s="4" t="inlineStr">
        <is>
          <t>NEIN</t>
        </is>
      </c>
      <c r="B46" s="5">
        <f>IF(AND(A46="JA", C46&lt;&gt;"Neu"),TODAY()-K46, "")</f>
        <v/>
      </c>
      <c r="C46" s="1" t="inlineStr">
        <is>
          <t>Abgelehnt nach Interview</t>
        </is>
      </c>
      <c r="D46" s="6" t="inlineStr">
        <is>
          <t>Junior BI Developer</t>
        </is>
      </c>
      <c r="E46" s="6" t="inlineStr">
        <is>
          <t>Lakeview Digital AG</t>
        </is>
      </c>
      <c r="F46" s="1" t="inlineStr">
        <is>
          <t>CH</t>
        </is>
      </c>
      <c r="G46" t="inlineStr">
        <is>
          <t>Zug</t>
        </is>
      </c>
      <c r="H46" s="7" t="n">
        <v>46237</v>
      </c>
      <c r="I46" s="8" t="n"/>
      <c r="J46" s="9" t="n"/>
      <c r="K46" s="8" t="n">
        <v>46238</v>
      </c>
      <c r="L46" s="9" t="inlineStr">
        <is>
          <t>Hybrid</t>
        </is>
      </c>
      <c r="M46" s="8" t="n">
        <v>46244</v>
      </c>
      <c r="N46" s="9" t="inlineStr">
        <is>
          <t>Indeed</t>
        </is>
      </c>
      <c r="O46" s="9" t="n"/>
      <c r="P46" s="10" t="inlineStr">
        <is>
          <t>https://example.com/jobs/app-007</t>
        </is>
      </c>
      <c r="Q46" s="11" t="n"/>
      <c r="R46" s="5" t="n">
        <v>7</v>
      </c>
      <c r="S46" s="3">
        <f>IF($H46="", "", WEEKNUM($H46, 2))</f>
        <v/>
      </c>
      <c r="T46" s="3">
        <f>IF($K46="", "", WEEKNUM($K46, 2))</f>
        <v/>
      </c>
      <c r="U46" s="4" t="n"/>
    </row>
    <row r="47" ht="24" customHeight="1">
      <c r="A47" s="4" t="inlineStr">
        <is>
          <t>NEIN</t>
        </is>
      </c>
      <c r="B47" s="5">
        <f>IF(AND(A47="JA", C47&lt;&gt;"Neu"),TODAY()-K47, "")</f>
        <v/>
      </c>
      <c r="C47" s="1" t="inlineStr">
        <is>
          <t>Abgelehnt</t>
        </is>
      </c>
      <c r="D47" s="6" t="inlineStr">
        <is>
          <t>Junior Data Analyst</t>
        </is>
      </c>
      <c r="E47" s="6" t="inlineStr">
        <is>
          <t>Limmat Insights AG</t>
        </is>
      </c>
      <c r="F47" s="1" t="inlineStr">
        <is>
          <t>CH</t>
        </is>
      </c>
      <c r="G47" t="inlineStr">
        <is>
          <t>Basel</t>
        </is>
      </c>
      <c r="H47" s="7" t="n">
        <v>46228</v>
      </c>
      <c r="I47" s="8" t="n"/>
      <c r="J47" s="9" t="n"/>
      <c r="K47" s="8" t="n">
        <v>46231</v>
      </c>
      <c r="L47" s="9" t="inlineStr">
        <is>
          <t>Junior-Level</t>
        </is>
      </c>
      <c r="M47" s="8" t="n"/>
      <c r="N47" s="9" t="inlineStr">
        <is>
          <t>LinkedIn</t>
        </is>
      </c>
      <c r="O47" s="9" t="inlineStr">
        <is>
          <t>Recruiting Team</t>
        </is>
      </c>
      <c r="P47" s="10" t="inlineStr">
        <is>
          <t>https://example.com/jobs/app-004</t>
        </is>
      </c>
      <c r="Q47" s="11" t="n"/>
      <c r="R47" s="5" t="n">
        <v>4</v>
      </c>
      <c r="S47" s="3">
        <f>IF($H47="", "", WEEKNUM($H47, 2))</f>
        <v/>
      </c>
      <c r="T47" s="3">
        <f>IF($K47="", "", WEEKNUM($K47, 2))</f>
        <v/>
      </c>
      <c r="U47" s="4" t="n"/>
    </row>
    <row r="48" ht="24" customHeight="1">
      <c r="A48" s="4" t="inlineStr">
        <is>
          <t>NEIN</t>
        </is>
      </c>
      <c r="B48" s="5">
        <f>IF(AND(A48="JA", C48&lt;&gt;"Neu"),TODAY()-K48, "")</f>
        <v/>
      </c>
      <c r="C48" s="1" t="inlineStr">
        <is>
          <t>Abgelehnt</t>
        </is>
      </c>
      <c r="D48" s="6" t="inlineStr">
        <is>
          <t>BI Analyst</t>
        </is>
      </c>
      <c r="E48" s="6" t="inlineStr">
        <is>
          <t>Rhine Metrics AG</t>
        </is>
      </c>
      <c r="F48" s="1" t="inlineStr">
        <is>
          <t>CH</t>
        </is>
      </c>
      <c r="G48" t="inlineStr">
        <is>
          <t>Zürich</t>
        </is>
      </c>
      <c r="H48" s="7" t="n">
        <v>46228</v>
      </c>
      <c r="I48" s="8" t="n"/>
      <c r="J48" s="9" t="n"/>
      <c r="K48" s="8" t="n">
        <v>46231</v>
      </c>
      <c r="L48" s="9" t="inlineStr">
        <is>
          <t>Junior-Level</t>
        </is>
      </c>
      <c r="M48" s="8" t="n"/>
      <c r="N48" s="9" t="inlineStr">
        <is>
          <t>Indeed</t>
        </is>
      </c>
      <c r="O48" s="9" t="n"/>
      <c r="P48" s="10" t="inlineStr">
        <is>
          <t>https://example.com/jobs/app-005</t>
        </is>
      </c>
      <c r="Q48" s="11" t="n"/>
      <c r="R48" s="5" t="n">
        <v>5</v>
      </c>
      <c r="S48" s="3">
        <f>IF($H48="", "", WEEKNUM($H48, 2))</f>
        <v/>
      </c>
      <c r="T48" s="3">
        <f>IF($K48="", "", WEEKNUM($K48, 2))</f>
        <v/>
      </c>
      <c r="U48" s="4" t="n"/>
    </row>
    <row r="49" ht="24" customHeight="1">
      <c r="A49" s="4" t="inlineStr">
        <is>
          <t>NEIN</t>
        </is>
      </c>
      <c r="B49" s="5">
        <f>IF(AND(A49="JA", C49&lt;&gt;"Neu"),TODAY()-K49, "")</f>
        <v/>
      </c>
      <c r="C49" s="1" t="inlineStr">
        <is>
          <t>Abgelehnt</t>
        </is>
      </c>
      <c r="D49" s="6" t="inlineStr">
        <is>
          <t>Data Analyst</t>
        </is>
      </c>
      <c r="E49" s="6" t="inlineStr">
        <is>
          <t>Alpenblick Analytics AG</t>
        </is>
      </c>
      <c r="F49" s="1" t="inlineStr">
        <is>
          <t>CH</t>
        </is>
      </c>
      <c r="G49" t="inlineStr">
        <is>
          <t>Bern</t>
        </is>
      </c>
      <c r="H49" s="7" t="n">
        <v>46225</v>
      </c>
      <c r="I49" s="8" t="n"/>
      <c r="J49" s="9" t="n"/>
      <c r="K49" s="8" t="n">
        <v>46230</v>
      </c>
      <c r="L49" s="9" t="inlineStr">
        <is>
          <t>Traineeprogramm</t>
        </is>
      </c>
      <c r="M49" s="8" t="n"/>
      <c r="N49" s="9" t="inlineStr">
        <is>
          <t>LinkedIn</t>
        </is>
      </c>
      <c r="O49" s="9" t="n"/>
      <c r="P49" s="10" t="inlineStr">
        <is>
          <t>https://example.com/jobs/app-001</t>
        </is>
      </c>
      <c r="Q49" s="11" t="n"/>
      <c r="R49" s="5" t="n">
        <v>1</v>
      </c>
      <c r="S49" s="3">
        <f>IF($H49="", "", WEEKNUM($H49, 2))</f>
        <v/>
      </c>
      <c r="T49" s="3">
        <f>IF($K49="", "", WEEKNUM($K49, 2))</f>
        <v/>
      </c>
      <c r="U49" s="4" t="n"/>
    </row>
    <row r="50" ht="24" customHeight="1">
      <c r="A50" s="4" t="inlineStr">
        <is>
          <t>NEIN</t>
        </is>
      </c>
      <c r="B50" s="5">
        <f>IF(AND(A50="JA", C50&lt;&gt;"Neu"),TODAY()-K50, "")</f>
        <v/>
      </c>
      <c r="C50" s="1" t="inlineStr">
        <is>
          <t>Abgelehnt</t>
        </is>
      </c>
      <c r="D50" s="6" t="inlineStr">
        <is>
          <t>Junior Data Scientist</t>
        </is>
      </c>
      <c r="E50" s="6" t="inlineStr">
        <is>
          <t>Helvetic Data Labs AG</t>
        </is>
      </c>
      <c r="F50" s="1" t="inlineStr">
        <is>
          <t>CH</t>
        </is>
      </c>
      <c r="G50" t="inlineStr">
        <is>
          <t>St. Gallen</t>
        </is>
      </c>
      <c r="H50" s="7" t="n">
        <v>46226</v>
      </c>
      <c r="I50" s="8" t="n"/>
      <c r="J50" s="9" t="n"/>
      <c r="K50" s="8" t="n">
        <v>46230</v>
      </c>
      <c r="L50" s="9" t="n"/>
      <c r="M50" s="8" t="n"/>
      <c r="N50" s="9" t="inlineStr">
        <is>
          <t>Indeed</t>
        </is>
      </c>
      <c r="O50" s="9" t="n"/>
      <c r="P50" s="10" t="inlineStr">
        <is>
          <t>https://example.com/jobs/app-002</t>
        </is>
      </c>
      <c r="Q50" s="11" t="n"/>
      <c r="R50" s="5" t="n">
        <v>2</v>
      </c>
      <c r="S50" s="3">
        <f>IF($H50="", "", WEEKNUM($H50, 2))</f>
        <v/>
      </c>
      <c r="T50" s="3">
        <f>IF($K50="", "", WEEKNUM($K50, 2))</f>
        <v/>
      </c>
      <c r="U50" s="4" t="n"/>
    </row>
    <row r="51" ht="24" customHeight="1">
      <c r="A51" s="4" t="inlineStr">
        <is>
          <t>NEIN</t>
        </is>
      </c>
      <c r="B51" s="5">
        <f>IF(AND(A51="JA", C51&lt;&gt;"Neu"),TODAY()-K51, "")</f>
        <v/>
      </c>
      <c r="C51" s="1" t="inlineStr">
        <is>
          <t>Abgelehnt</t>
        </is>
      </c>
      <c r="D51" s="6" t="inlineStr">
        <is>
          <t>Data Analytics Engineer</t>
        </is>
      </c>
      <c r="E51" s="6" t="inlineStr">
        <is>
          <t>Rheinwerk Data GmbH</t>
        </is>
      </c>
      <c r="F51" s="1" t="inlineStr">
        <is>
          <t>DE</t>
        </is>
      </c>
      <c r="G51" t="inlineStr">
        <is>
          <t>Bonn</t>
        </is>
      </c>
      <c r="H51" s="7" t="n">
        <v>46230</v>
      </c>
      <c r="I51" s="8" t="n"/>
      <c r="J51" s="9" t="n"/>
      <c r="K51" s="8" t="n">
        <v>46230</v>
      </c>
      <c r="L51" s="9" t="n"/>
      <c r="M51" s="8" t="n"/>
      <c r="N51" s="9" t="inlineStr">
        <is>
          <t>Hochschulportal</t>
        </is>
      </c>
      <c r="O51" s="9" t="n"/>
      <c r="P51" s="10" t="inlineStr">
        <is>
          <t>https://example.com/jobs/app-003</t>
        </is>
      </c>
      <c r="Q51" s="11" t="n"/>
      <c r="R51" s="5" t="n">
        <v>3</v>
      </c>
      <c r="S51" s="3">
        <f>IF($H51="", "", WEEKNUM($H51, 2))</f>
        <v/>
      </c>
      <c r="T51" s="3">
        <f>IF($K51="", "", WEEKNUM($K51, 2))</f>
        <v/>
      </c>
      <c r="U51" s="4" t="n"/>
    </row>
  </sheetData>
  <conditionalFormatting sqref="C2:C51">
    <cfRule type="expression" priority="1" dxfId="0">
      <formula>LEFT(C2,10)="Abgelehnt"</formula>
    </cfRule>
    <cfRule type="expression" priority="2" dxfId="1">
      <formula>C2="Interview"</formula>
    </cfRule>
    <cfRule type="expression" priority="3" dxfId="2">
      <formula>LEFT(C2,5)="Warte"</formula>
    </cfRule>
  </conditionalFormatting>
  <dataValidations count="2">
    <dataValidation sqref="C2:C51" showDropDown="0" showInputMessage="0" showErrorMessage="0" allowBlank="1" type="list">
      <formula1>"Abgelehnt,Abgelehnt nach Interview,Angebot,Interview,Keine Antwort,Kein Interesse mehr,Neu,Nicht mehr verfügbar,Warte auf weitere Antwort,Warte auf Antwort"</formula1>
    </dataValidation>
    <dataValidation sqref="A2:A51" showDropDown="0" showInputMessage="0" showErrorMessage="0" allowBlank="0" type="list">
      <formula1>"JA,NEIN"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  <tableParts count="1">
    <tablePart xmlns:r="http://schemas.openxmlformats.org/officeDocument/2006/relationships" r:id="rId5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 Data Project</dc:creator>
  <dc:title xmlns:dc="http://purl.org/dc/elements/1.1/">Synthetic Job Applications</dc:title>
  <dc:description xmlns:dc="http://purl.org/dc/elements/1.1/">Fictional data generated from the structure of a private application tracker.</dc:description>
  <dc:subject xmlns:dc="http://purl.org/dc/elements/1.1/">Synthetic application data for portfolio/demo use</dc:subject>
  <dcterms:created xmlns:dcterms="http://purl.org/dc/terms/" xmlns:xsi="http://www.w3.org/2001/XMLSchema-instance" xsi:type="dcterms:W3CDTF">2026-09-21T11:47:08Z</dcterms:created>
  <dcterms:modified xmlns:dcterms="http://purl.org/dc/terms/" xmlns:xsi="http://www.w3.org/2001/XMLSchema-instance" xsi:type="dcterms:W3CDTF">2026-09-21T11:47:08Z</dcterms:modified>
</cp:coreProperties>
</file>